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leitung" sheetId="1" state="visible" r:id="rId3"/>
    <sheet name="Regeln ohne Fassung" sheetId="2" state="visible" r:id="rId4"/>
    <sheet name="Fundstellen je Testfall" sheetId="3" state="visible" r:id="rId5"/>
    <sheet name="Quellen Gültigkeit" sheetId="4" state="visible" r:id="rId6"/>
    <sheet name="Textbausteine neu" sheetId="5" state="visible" r:id="rId7"/>
    <sheet name="Offene Fachfragen" sheetId="6" state="visible" r:id="rId8"/>
  </sheets>
  <definedNames>
    <definedName function="false" hidden="false" localSheetId="0" name="_xlnm.Print_Titles" vbProcedure="false">Anleitung!$1:$1</definedName>
    <definedName function="false" hidden="false" localSheetId="2" name="_xlnm.Print_Titles" vbProcedure="false">'Fundstellen je Testfall'!$1:$1</definedName>
    <definedName function="false" hidden="true" localSheetId="2" name="_xlnm._FilterDatabase" vbProcedure="false">'Fundstellen je Testfall'!$A$1:$K$41</definedName>
    <definedName function="false" hidden="false" localSheetId="5" name="_xlnm.Print_Titles" vbProcedure="false">'Offene Fachfragen'!$1:$1</definedName>
    <definedName function="false" hidden="true" localSheetId="5" name="_xlnm._FilterDatabase" vbProcedure="false">'Offene Fachfragen'!$A$1:$I$13</definedName>
    <definedName function="false" hidden="false" localSheetId="3" name="_xlnm.Print_Titles" vbProcedure="false">'Quellen Gültigkeit'!$1:$1</definedName>
    <definedName function="false" hidden="true" localSheetId="3" name="_xlnm._FilterDatabase" vbProcedure="false">'Quellen Gültigkeit'!$A$1:$P$123</definedName>
    <definedName function="false" hidden="false" localSheetId="1" name="_xlnm.Print_Titles" vbProcedure="false">'Regeln ohne Fassung'!$1:$1</definedName>
    <definedName function="false" hidden="true" localSheetId="1" name="_xlnm._FilterDatabase" vbProcedure="false">'Regeln ohne Fassung'!$A$1:$O$13</definedName>
    <definedName function="false" hidden="false" localSheetId="4" name="_xlnm.Print_Titles" vbProcedure="false">'Textbausteine neu'!$1:$1</definedName>
    <definedName function="false" hidden="true" localSheetId="4" name="_xlnm._FilterDatabase" vbProcedure="false">'Textbausteine neu'!$A$1:$I$10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<sst xmlns="http://schemas.openxmlformats.org/spreadsheetml/2006/main" count="1694" uniqueCount="691">
  <si>
    <t xml:space="preserve">Prüfliste 2 für den Steuerberater – ENTWURF, Stand 14.10.2026</t>
  </si>
  <si>
    <t xml:space="preserve">Alles in dieser Datei sind Vorschläge des Systems; nichts ist freigegeben. Bitte nur die GELB hinterlegten Spalten ausfüllen (Auswahllisten, wo vorhanden). Name und Datum je Zeile setzen.</t>
  </si>
  <si>
    <t xml:space="preserve">Nach der Prüfung die Datei zurückgeben. Die Entscheidungen werden als NEUE Version in Regelkatalog, Metadaten und Testfälle übernommen; nichts wird überschrieben (alte Jahre werden weiter nach ihren Regeln gerechnet).</t>
  </si>
  <si>
    <t xml:space="preserve">Fassungen laut Register: A: 2019–2022; B: 2023–2027 (Fassung A bis 31.12.2022, Fassung B ab 01.01.2023 – entscheidet die Excel).</t>
  </si>
  <si>
    <t xml:space="preserve">„Auslegung der KSK/DRV, kein Gesetz“: Verwaltungspraxis, nicht Gesetzestext. Rangfolge: Gesetz &gt; Rechtsprechung &gt; KSK/DRV-Auslegung.</t>
  </si>
  <si>
    <t xml:space="preserve">Beispiel für das Ausfüllen (Blatt „Fundstellen je Testfall“): Erwartete Fundstelle richtig? = „ja und weitere zulässig“; Weitere zulässige Fundstellen = „2) und 4)“ oder ein eigener Text wie „KSVG § 24 Abs. 1 Satz 1 Nr. 2“; Begründung = kurz, gern mit Fundstelle.</t>
  </si>
  <si>
    <t xml:space="preserve">Die erste Prüfliste (regelwerk/Pruefliste_Taetigkeiten_Entwurf.xlsx, Tätigkeiten) bleibt gültig und ist davon unabhängig. Weitere offene Punkte stehen im Regelkatalog, Blatt „Offene Punkte“.</t>
  </si>
  <si>
    <t xml:space="preserve">Blatt</t>
  </si>
  <si>
    <t xml:space="preserve">Zeilen</t>
  </si>
  <si>
    <t xml:space="preserve">noch offen</t>
  </si>
  <si>
    <t xml:space="preserve">Was zu tun ist</t>
  </si>
  <si>
    <t xml:space="preserve">Regeln ohne Fassung</t>
  </si>
  <si>
    <t xml:space="preserve">Für jede Regel die Fassung festlegen (Spalte „Richtige Fassung“). Solange sie fehlt, liefert der Quellenabruf die Regel nie.</t>
  </si>
  <si>
    <t xml:space="preserve">Fundstellen je Testfall</t>
  </si>
  <si>
    <t xml:space="preserve">Der Abruf fand die erwartete Fundstelle nicht. Prüfen: Ist die erwartete Fundstelle richtig? Welche gelieferten Stellen sind ebenfalls zulässig?</t>
  </si>
  <si>
    <t xml:space="preserve">Quellen Gültigkeit</t>
  </si>
  <si>
    <t xml:space="preserve">Jahre und Stufe jeder Quelle bestätigen oder berichtigen (automatisch vorbelegt). Bestimmt, welche Quelle für welches Jahr gilt.</t>
  </si>
  <si>
    <t xml:space="preserve">Textbausteine neu</t>
  </si>
  <si>
    <t xml:space="preserve">Diese Sätze erscheinen wörtlich in den Antworten. Fachlich richtig und verständlich?</t>
  </si>
  <si>
    <t xml:space="preserve">Offene Fachfragen</t>
  </si>
  <si>
    <t xml:space="preserve">Fragen, die nur ein Berufsträger entscheiden kann. Kurz beantworten, gern mit Fundstelle.</t>
  </si>
  <si>
    <t xml:space="preserve">„noch offen“ zählt Zeilen mit „offen“ (bei den Fachfragen: ohne Antwort). Erzeugt mit python scripts/erzeuge_pruefliste_2.py aus Regelkatalog, Quellenabruf, Metadaten und aufgaben/pruefliste_2_fragen.json.</t>
  </si>
  <si>
    <t xml:space="preserve">Regel-ID</t>
  </si>
  <si>
    <t xml:space="preserve">Gruppe</t>
  </si>
  <si>
    <t xml:space="preserve">Norm</t>
  </si>
  <si>
    <t xml:space="preserve">Voraussetzung</t>
  </si>
  <si>
    <t xml:space="preserve">Rechtsfolge</t>
  </si>
  <si>
    <t xml:space="preserve">Fundstelle</t>
  </si>
  <si>
    <t xml:space="preserve">Heutiger Eintrag „Gilt für Fassung“</t>
  </si>
  <si>
    <t xml:space="preserve">Vorbehalt / Hinweis</t>
  </si>
  <si>
    <t xml:space="preserve">Fassungen laut Register</t>
  </si>
  <si>
    <t xml:space="preserve">Folge heute</t>
  </si>
  <si>
    <t xml:space="preserve">Entscheidung</t>
  </si>
  <si>
    <t xml:space="preserve">Richtige Fassung</t>
  </si>
  <si>
    <t xml:space="preserve">Begründung / Änderung</t>
  </si>
  <si>
    <t xml:space="preserve">Geprüft von</t>
  </si>
  <si>
    <t xml:space="preserve">Datum</t>
  </si>
  <si>
    <t xml:space="preserve">R-18</t>
  </si>
  <si>
    <t xml:space="preserve">Bemessungsgrundlage</t>
  </si>
  <si>
    <t xml:space="preserve">§ 25 Abs. 1, 2</t>
  </si>
  <si>
    <t xml:space="preserve">Entgelt = alles, was der Abgabepflichtige aufwendet, um das Werk oder die Leistung zu erhalten oder zu nutzen, abzüglich der gesondert ausgewiesenen Umsatzsteuer</t>
  </si>
  <si>
    <t xml:space="preserve">Für Schwelle (R-11, R-13) und Abgabe zählt der Betrag ohne gesondert ausgewiesene USt. Ausnahmen in Abs. 2 Satz 2 (Verwertungsgesellschaften, steuerfreie Aufwandsentschädigungen)</t>
  </si>
  <si>
    <t xml:space="preserve">KSVG § 25 Abs. 1, 2</t>
  </si>
  <si>
    <t xml:space="preserve">aktuell (andere Fassungen noch nicht verglichen)</t>
  </si>
  <si>
    <t xml:space="preserve">Ausführlich im Regelkatalog zu § 25 (noch nicht erstellt); KSVEntgV und Infos 10/24/24a noch nicht ausgewertet</t>
  </si>
  <si>
    <t xml:space="preserve">A: 2019–2022; B: 2023–2027</t>
  </si>
  <si>
    <t xml:space="preserve">Der Quellenabruf liefert diese Regel nie (Fassung nicht zuzuordnen). Im Rechenkern unverändert.</t>
  </si>
  <si>
    <t xml:space="preserve">offen</t>
  </si>
  <si>
    <t xml:space="preserve">R-19</t>
  </si>
  <si>
    <t xml:space="preserve">§ 25 Abs. 3</t>
  </si>
  <si>
    <t xml:space="preserve">Vermittlung oder Kommission durch einen nach § 24 Abs. 1 Abgabepflichtigen</t>
  </si>
  <si>
    <t xml:space="preserve">Entgelt sind auch Preise aus Kommissionsgeschäften und Zahlungen aus Vermittlung mit Leistungen über den Gelegenheitsnachweis hinaus – es sei denn, der Dritte ist selbst abgabepflichtig</t>
  </si>
  <si>
    <t xml:space="preserve">KSVG § 25 Abs. 3; BSG B 3 KS 1/18 R Rn. 22–28</t>
  </si>
  <si>
    <t xml:space="preserve">aktuell</t>
  </si>
  <si>
    <t xml:space="preserve">Auslandsgeschäfte: Gericht lässt Einschränkungen offen → Grenzfall</t>
  </si>
  <si>
    <t xml:space="preserve">R-20</t>
  </si>
  <si>
    <t xml:space="preserve">Querschnitt</t>
  </si>
  <si>
    <t xml:space="preserve">–</t>
  </si>
  <si>
    <t xml:space="preserve">Jahr der Entgeltzahlung (Kalenderjahr)</t>
  </si>
  <si>
    <t xml:space="preserve">Das System liefert kein Ergebnis ohne Jahr. Die anzuwendende Fassung (A oder B) und die Schwelle richten sich nach dem Jahr</t>
  </si>
  <si>
    <t xml:space="preserve">alle</t>
  </si>
  <si>
    <t xml:space="preserve">Pflichtregel für alle Fälle</t>
  </si>
  <si>
    <t xml:space="preserve">R-21</t>
  </si>
  <si>
    <t xml:space="preserve">Aufträge/Veranstaltungen früherer Jahre oder anderer Zahlungen desselben Kalenderjahres unbekannt</t>
  </si>
  <si>
    <t xml:space="preserve">Ergebnis 'Rückfrage nötig' statt Vorschlag (Schwellen, Regelmäßigkeit, Veranstaltungsanzahl hängen von der Historie ab)</t>
  </si>
  <si>
    <t xml:space="preserve">Urteil B 3 KS 3/21 R Rn. 25; KSVG § 24 Abs. 2 Satz 3 Nr. 1</t>
  </si>
  <si>
    <t xml:space="preserve">Siehe Testfälle E-07, S-01</t>
  </si>
  <si>
    <t xml:space="preserve">R-27</t>
  </si>
  <si>
    <t xml:space="preserve">KSVG § 25 Abs. 4 / Info 05 Abschn. 7</t>
  </si>
  <si>
    <t xml:space="preserve">Kauf von Bildern/Grafiken bei einer ausländischen Bildagentur; Künstler hatte bei Herstellung Wohnsitz im Inland</t>
  </si>
  <si>
    <t xml:space="preserve">Inländisches Unternehmen ist abgabepflichtig und meldet den Betrag, den die Agentur an den Künstler gezahlt hat; ggf. Schätzung. Bei inländischer Bildagentur fällt in der Regel keine Abgabe an</t>
  </si>
  <si>
    <t xml:space="preserve">KSK-Info 05 (Stand 08.2025), Abschn. 7, S. 4; KSVG § 25 Abs. 4</t>
  </si>
  <si>
    <t xml:space="preserve">Auslegung der KSK (Verwaltungspraxis), kein Gesetz. Info-Stand 08.2025; frühere Fassungen nicht Zeile für Zeile verglichen</t>
  </si>
  <si>
    <t xml:space="preserve">R-36</t>
  </si>
  <si>
    <t xml:space="preserve">KSVG § 25 Abs. 1 Satz 2 / Info 04 Abschn. 4</t>
  </si>
  <si>
    <t xml:space="preserve">Ein nicht abgabepflichtiger Dritter (z. B. Publikum, ausländische Produktionsgesellschaft) zahlt den Künstler für Leistungen, die für einen Abgabepflichtigen erbracht werden</t>
  </si>
  <si>
    <t xml:space="preserve">Das Entgelt gehört zur Bemessungsgrundlage des abgabepflichtigen Empfängers der Leistung. 'Hutgage': Wer durch Planung, Organisation und Werbung wirtschaftlichen Nutzen hat (z. B. Gastronom), meldet das eingesammelte Honorar</t>
  </si>
  <si>
    <t xml:space="preserve">KSK-Info 04 (Stand 08.2025), Abschn. 4, S. 5–6</t>
  </si>
  <si>
    <t xml:space="preserve">R-68</t>
  </si>
  <si>
    <t xml:space="preserve">KSVG § 25 Abs. 2 Satz 2 Nr. 2</t>
  </si>
  <si>
    <t xml:space="preserve">Steuerfreie Aufwandsentschädigungen und steuerfreie Einnahmen nach § 3 Nr. 26 und 26a EStG</t>
  </si>
  <si>
    <t xml:space="preserve">Gehört nicht zur Bemessungsgrundlage (Voraussetzungen siehe R-50, R-51)</t>
  </si>
  <si>
    <t xml:space="preserve">KSVG § 25 Abs. 2 Satz 2 Nr. 2 (Vergleich Kopie 2024-05-21 und Momentaufnahme 2026-10-08)</t>
  </si>
  <si>
    <t xml:space="preserve">Wortlaut 2024: nur Nr. 26</t>
  </si>
  <si>
    <t xml:space="preserve">Zeitpunkt des Inkrafttretens der Änderung nicht geprüft (Info 10: Ehrenamtspauschale ab 01.01.2025)</t>
  </si>
  <si>
    <t xml:space="preserve">R-89</t>
  </si>
  <si>
    <t xml:space="preserve">Berechnung</t>
  </si>
  <si>
    <t xml:space="preserve">KSVG § 26 Abs. 5; Abgabesatz-Verordnungen</t>
  </si>
  <si>
    <t xml:space="preserve">Abgabe = Bemessungsgrundlage (§ 25) × Abgabesatz des Jahres</t>
  </si>
  <si>
    <t xml:space="preserve">Rechenergebnis; Rundungsregel der KSK nicht aus den Quellen geprüft</t>
  </si>
  <si>
    <t xml:space="preserve">KSAbg2019V–2027V (Prozentsätze je Verordnung); KSVG § 26 Abs. 5</t>
  </si>
  <si>
    <t xml:space="preserve">Jahresabhängig</t>
  </si>
  <si>
    <t xml:space="preserve">Prozentsätze verifiziert gegen die Verordnungstexte; Rundung offen</t>
  </si>
  <si>
    <t xml:space="preserve">R-115</t>
  </si>
  <si>
    <t xml:space="preserve">Design</t>
  </si>
  <si>
    <t xml:space="preserve">KSVG § 24 Abs. 2 Satz 1 Nr. 2</t>
  </si>
  <si>
    <t xml:space="preserve">Unternehmen lässt Produkte/Verpackungen gestalten (Industrie-/Produkt-Design) und will mit der Nutzung Einnahmen erzielen</t>
  </si>
  <si>
    <t xml:space="preserve">Abgabepflicht nach Generalklausel; unter der Grenze keine Abgabepflicht und keine unaufgeforderte Meldung; auf Aufforderung der KSK sind auch Entgelte darunter anzugeben (ohne Abgabe)</t>
  </si>
  <si>
    <t xml:space="preserve">KSK-Info 02 (Stand 08.2025), Abschn. 2, 7, S. 1, 3–4</t>
  </si>
  <si>
    <t xml:space="preserve">A (bis 2022: nicht nur gelegentlich) / B (ab 2023)</t>
  </si>
  <si>
    <t xml:space="preserve">Auslegung der KSK (Verwaltungspraxis), kein Gesetz</t>
  </si>
  <si>
    <t xml:space="preserve">R-230</t>
  </si>
  <si>
    <t xml:space="preserve">Rechtsbehelfe</t>
  </si>
  <si>
    <t xml:space="preserve">SGB X § 37 Abs. 2, § 26 Abs. 1, 3; für Fristen nach dem SGG zusätzlich SGG § 64</t>
  </si>
  <si>
    <t xml:space="preserve">Bekanntgabe eines schriftlichen Bescheids durch die Post und Fristberechnung</t>
  </si>
  <si>
    <t xml:space="preserve">Ein im Inland per Post übermittelter Bescheid gilt am vierten Tag nach Aufgabe zur Post als bekannt gegeben, außer er ist nicht oder später zugegangen; im Zweifel muss die Behörde den Zugang beweisen. Die Monatsfrist wird nach §§ 187 bis 193 BGB berechnet; endet sie an einem Samstag, Sonntag oder Feiertag, endet sie mit Ablauf des nächsten Werktags.</t>
  </si>
  <si>
    <t xml:space="preserve">SGB X § 37 Abs. 2 S. 1 und 3, § 26 Abs. 1 und 3; SGG § 64 Abs. 1</t>
  </si>
  <si>
    <t xml:space="preserve">Momentaufnahme SGB X 08.10.2026 (ältere Fassungen können eine andere Tagesfrist enthalten; im Repo nicht belegt)</t>
  </si>
  <si>
    <t xml:space="preserve">Für Bescheide aus Jahren mit älterer Gesetzesfassung die damalige Fassung prüfen. Fällt der vierte Tag auf einen Samstag, Sonntag oder Feiertag, ist im Repo nicht belegt, ob sich der Tag der Bekanntgabe verschiebt; vorsichtshalber den früheren Termin nehmen.</t>
  </si>
  <si>
    <t xml:space="preserve">R-231</t>
  </si>
  <si>
    <t xml:space="preserve">SGG § 84 Abs. 2 S. 3 i. V. m. § 67 Abs. 1–3 (Widerspruch, Klage); SGB X § 27 (sonstige Fristen im Verwaltungsverfahren)</t>
  </si>
  <si>
    <t xml:space="preserve">Frist für Widerspruch oder Klage wurde versäumt</t>
  </si>
  <si>
    <t xml:space="preserve">Für die Widerspruchsfrist gelten nach SGG § 84 Abs. 2 S. 3 die §§ 66, 67 SGG entsprechend: Wiedereinsetzung auf Antrag, wenn jemand ohne Verschulden verhindert war; Antrag binnen eines Monats nach Wegfall des Hindernisses; die versäumte Handlung ist innerhalb der Antragsfrist nachzuholen; nach einem Jahr ist der Antrag unzulässig, außer wenn er infolge höherer Gewalt unmöglich war. Für Klage und Berufung gilt ebenfalls SGG § 67. SGB X § 27 (zwei Wochen) betrifft andere Fristen im reinen Verwaltungsverfahren und nicht die Widerspruchsfrist.</t>
  </si>
  <si>
    <t xml:space="preserve">SGG § 84 Abs. 2 S. 3, § 66, § 67 Abs. 1–3; SGB X § 27 Abs. 1–3 (nur sonstige Verwaltungsfristen)</t>
  </si>
  <si>
    <t xml:space="preserve">Momentaufnahme SGG und SGB X 08.10.2026</t>
  </si>
  <si>
    <t xml:space="preserve">Verschulden eines Vertreters (SGB X § 27 Abs. 1 S. 2) ist im SGG-Text nicht ausdrücklich geregelt und hier nicht belegt</t>
  </si>
  <si>
    <t xml:space="preserve">R-233</t>
  </si>
  <si>
    <t xml:space="preserve">Rechtsprechung / Zwischenschaltung Ausland</t>
  </si>
  <si>
    <t xml:space="preserve">KSVG a. F. § 24 Abs. 3, § 25 Abs. 1 S. 1 Alt. 2; heute § 25 Abs. 1 S. 2, Abs. 4</t>
  </si>
  <si>
    <t xml:space="preserve">Tourneeveranstalter zahlt an eine ausländische Kapitalgesellschaft, die die Künstler vertraglich bindet und die Rechte weitergibt</t>
  </si>
  <si>
    <t xml:space="preserve">Zahlungen des Veranstalters an die ausländische Kapitalgesellschaft sind keine Zahlungen an selbständige Künstler. Abgabepflichtig sind aber die Entgelte, die diese Gesellschaft als „Dritter“ an die selbständigen Musiker zahlt (Veranstalter verwertet deren Leistungen faktisch). § 25 Abs. 2 S. 1 (weiter Entgeltbegriff) schafft keinen eigenen Abgabetatbestand. Sind die Zahlungen des Dritten unbekannt, müssen sie geschätzt werden. Abgabepflicht verstößt nicht gegen EU-Recht. Voraussetzung dieser Wertung war, dass das LSG die Musiker als selbständig (nicht als Arbeitnehmer der Zwischengesellschaft) eingeordnet hat und die Gesellschaft nicht für Rechnung der Musiker als reine Durchlaufstation handelte.</t>
  </si>
  <si>
    <t xml:space="preserve">LSG Berlin-Brandenburg 14.01.2010, L 9 KR 142/03, Entscheidungsgründe I.2.a–b, II.1 (Durchlaufstation), II.2.b (Selbständigkeit), II.5–6</t>
  </si>
  <si>
    <t xml:space="preserve">Fassung vor 01.07.2001 (heute § 25 Abs. 1 S. 2 und Abs. 4)</t>
  </si>
  <si>
    <t xml:space="preserve">Urteil zu Fassung vor 2001; Revision nicht zugelassen; heutige Rechtslage (§ 25 Abs. 1 S. 2, Abs. 4) vor Verwendung anhand der Gesetzesfassung prüfen. Landessozialgericht, nicht BSG</t>
  </si>
  <si>
    <t xml:space="preserve">Testfall</t>
  </si>
  <si>
    <t xml:space="preserve">Jahr</t>
  </si>
  <si>
    <t xml:space="preserve">Frage (Suchtext)</t>
  </si>
  <si>
    <t xml:space="preserve">Erwartete Fundstelle (Testfalldatei)</t>
  </si>
  <si>
    <t xml:space="preserve">Vom Abruf geliefert (Plätze 1–5)</t>
  </si>
  <si>
    <t xml:space="preserve">Erwartete Fundstelle richtig?</t>
  </si>
  <si>
    <t xml:space="preserve">Weitere zulässige Fundstellen</t>
  </si>
  <si>
    <t xml:space="preserve">V-05</t>
  </si>
  <si>
    <t xml:space="preserve">Vermittlung</t>
  </si>
  <si>
    <t xml:space="preserve">Künstler verkauft seine eigenen Werke direkt an Endkunden, ohne dass ein Dritter (Galerie, Agentur) zwischengeschaltet ist. Künstler vermarktet sich selbst; kein Dritter</t>
  </si>
  <si>
    <t xml:space="preserve">BSG 28.03.2019, B 3 KS 1/18 R, Rn. 20</t>
  </si>
  <si>
    <t xml:space="preserve">1) KSK-Info 21 (Stand 10.2025), Abschn. 5, S. 5
2) BSG 08.10.2014, B 3 KS 1/13 R, Rn. 7
3) KSK-Info 21, Abschn. 5, S. 4
4) KSK-Info 21 (Stand 10.2025), Abschn. 5, S. 4
5) BSG 08.10.2014, B 3 KS 1/13 R, Rn. 30</t>
  </si>
  <si>
    <t xml:space="preserve">I-09</t>
  </si>
  <si>
    <t xml:space="preserve">Eigenwerbung</t>
  </si>
  <si>
    <t xml:space="preserve">Firma kauft 2025 Grafiken bei einer ausländischen Bildagentur. Der Grafiker hatte bei Herstellung Wohnsitz im Inland, Verkauf vor 1 Jahr. Betrag, den die Agentur an ihn zahlte, ist unbekannt. Ausländische Bildagentur; Künstler inländisch; Betrag unbekannt</t>
  </si>
  <si>
    <t xml:space="preserve">KSK-Info 05 (Stand 08.2025), Abschn. 7, S. 4; KSVG § 25 Abs. 4; Regel R-27</t>
  </si>
  <si>
    <t xml:space="preserve">1) KSK-Info 21 (Stand 10.2025), Abschn. 5, S. 5
2) BSG 28.03.2019, B 3 KS 1/18 R, Rn. 31
3) KSK-Info 03, Abschn. 7, S. 3
4) Checkliste Veranstalter, S. 2; vgl. R-37
5) LSG Berlin-Brandenburg 14.01.2010, L 9 KR 142/03</t>
  </si>
  <si>
    <t xml:space="preserve">I-27</t>
  </si>
  <si>
    <t xml:space="preserve">Pflichteingabe</t>
  </si>
  <si>
    <t xml:space="preserve">Frage nach Abgabepflicht für Zahlung von 800 € an einen Fotografen ohne Angabe des Jahres. Jahr fehlt</t>
  </si>
  <si>
    <t xml:space="preserve">Regel R-20</t>
  </si>
  <si>
    <t xml:space="preserve">1) KSK-Info 27, S. 3
2) BSG 16.07.2014, B 3 KS 3/13 R, Rn. 14
3) KSK-FAQ Unternehmen und Verwerter, Frage 2
4) Checkliste Werbeagenturen, S. 2
5) BSG 08.10.2014, B 3 KS 1/13 R, Rn. 22</t>
  </si>
  <si>
    <t xml:space="preserve">B-02</t>
  </si>
  <si>
    <t xml:space="preserve">Zahlung an eine Grafik-GmbH, die im eigenen Namen auftritt, 5.000 €. Empfänger GmbH, eigener Name</t>
  </si>
  <si>
    <t xml:space="preserve">KSK-Info 10, Abschn. 1, S. 2; Regel R-45</t>
  </si>
  <si>
    <t xml:space="preserve">1) Ableitung; KSK-FAQ Frage 12 nennt nur die GmbH
2) LSG Berlin-Brandenburg 14.01.2010, L 9 KR 142/03
3) KSK-Info 09, Abschn. 2.4, S. 3
4) Ableitung; KSK-FAQ Frage 12 nennt nur die GmbH
5) BSG 16.07.2014, B 3 KS 3/13 R, Rn. 1–2</t>
  </si>
  <si>
    <t xml:space="preserve">P-01</t>
  </si>
  <si>
    <t xml:space="preserve">Bemessungsgrundlage 20.000 € im Jahr 2026. BG 20.000 €; Satz 4,9 %</t>
  </si>
  <si>
    <t xml:space="preserve">KSAbg2026V § 1; KSVG § 26 Abs. 5; Regel R-89</t>
  </si>
  <si>
    <t xml:space="preserve">1) KSVEntgV § 1 Nr. 2; KSK-Info 10, Abschn. 2, S. 3
2) BSG 25.02.2015, B 3 KS 5/13 R, Rn. 18
3) KSK-Webseite Bemessungsgrundlage
4) Checkliste Allgemeines, S. 1
5) BSG 25.11.2010, B 3 KS 1/10 R, Rn. 30</t>
  </si>
  <si>
    <t xml:space="preserve">P-02</t>
  </si>
  <si>
    <t xml:space="preserve">Bemessungsgrundlage 20.000 € im Jahr 2025. BG 20.000 €; Satz 5,0 %</t>
  </si>
  <si>
    <t xml:space="preserve">KSAbg2025V § 1; Regel R-89</t>
  </si>
  <si>
    <t xml:space="preserve">1) KSVEntgV § 1 Nr. 2; KSK-Info 10, Abschn. 2, S. 3
2) BSG 25.02.2015, B 3 KS 5/13 R, Rn. 18
3) KSK-Info 10 (Archiv 2025-01-14), Abschn. 1, S. 1
4) Checkliste Allgemeines, S. 1
5) BSG 25.11.2010, B 3 KS 1/10 R, Rn. 30</t>
  </si>
  <si>
    <t xml:space="preserve">P-03</t>
  </si>
  <si>
    <t xml:space="preserve">Bemessungsgrundlage 10.000 € im Jahr 2021. BG 10.000 €; Satz 4,2 %</t>
  </si>
  <si>
    <t xml:space="preserve">KSAbg2021V (Archiv 2021-09-26) § 1; Regel R-89</t>
  </si>
  <si>
    <t xml:space="preserve">1) KSVEntgV § 1 Nr. 2; KSK-Info 10, Abschn. 2, S. 3
2) BSG 25.02.2015, B 3 KS 5/13 R, Rn. 18
3) BSG 16.04.1998, B 3 KR 7/97 R, Rn. 14
4) Checkliste Allgemeines, S. 1
5) BSG 25.11.2010, B 3 KS 1/10 R, Rn. 30</t>
  </si>
  <si>
    <t xml:space="preserve">P-06</t>
  </si>
  <si>
    <t xml:space="preserve">Verfahren</t>
  </si>
  <si>
    <t xml:space="preserve">Entgelte des Jahres 2025: Wann ist die Meldung fällig? Jahr der Entgelte 2025</t>
  </si>
  <si>
    <t xml:space="preserve">KSVG § 27 Abs. 1; Regel R-79</t>
  </si>
  <si>
    <t xml:space="preserve">1) DRV K5006, Seite 2–3
2) BSG 02.04.2014, B 3 KS 3/12 R, Rn. 36
3) KSK-Meldebogen Entgelte 2025, Abschn. 31, S. 1
4) KSK-Info 05 (Stand 08.2025), Abschn. 3, S. 3
5) KSVG § 28</t>
  </si>
  <si>
    <t xml:space="preserve">P-10</t>
  </si>
  <si>
    <t xml:space="preserve">Abgabe für 2020 wird 2026 nachgefordert. Prüfung hat nicht stattgefunden; kein Vorsatz bekannt. Entgeltjahr 2020; Nachforderung 2026</t>
  </si>
  <si>
    <t xml:space="preserve">SGB IV § 25 Abs. 1, 2; KSVG § 31; Regel R-87</t>
  </si>
  <si>
    <t xml:space="preserve">1) DRV K5006, Seite 1, 4
2) BSG 01.06.2022, B 3 KS 3/21 R, Rn. 4
3) BSG 04.03.2004, B 3 KR 15/03 R, Rn. 9
4) KSVG § 36 Abs. 2, 3
5) KSVG § 25 Abs. 1</t>
  </si>
  <si>
    <t xml:space="preserve">W-03</t>
  </si>
  <si>
    <t xml:space="preserve">Werbeagentur</t>
  </si>
  <si>
    <t xml:space="preserve">Werbeagentur beauftragt eine selbständige Influencerin mit Werbevideos für Kunden; 2.500 €. Influencerin; Werbevideos</t>
  </si>
  <si>
    <t xml:space="preserve">KSK-Info 03, Abschn. 3, S. 2; Regel R-92</t>
  </si>
  <si>
    <t xml:space="preserve">1) KSK-Info 06, Abschn. 1, S. 1–4 (Katalog beispielhaft, nicht abschließend)
2) KSVG § 34 Abs. 2
3) KSK-FAQ Unternehmen und Verwerter, Frage 24
4) KSK-FAQ Unternehmen und Verwerter, Frage 24
5) BSG 16.07.2014, B 3 KS 3/13 R, Rn. 1–2</t>
  </si>
  <si>
    <t xml:space="preserve">K-01</t>
  </si>
  <si>
    <t xml:space="preserve">Grundsatz</t>
  </si>
  <si>
    <t xml:space="preserve">Buchverlag zahlt 2025 einem Illustrator insgesamt 200 €. Typischer Verwerter (Verlag); 200 €</t>
  </si>
  <si>
    <t xml:space="preserve">KSK-FAQ Frage 1a; Regel R-131</t>
  </si>
  <si>
    <t xml:space="preserve">1) KSK-Info 01a, Abschn. 1.1 und 1.2, S. 2
2) BSG 28.03.2019, B 3 KS 1/18 R, Rn. 26
3) KSK-Info 02, Abschn. 4, S. 2
4) Checkliste Veranstalter, S. 2; Galerien, S. 2; Verlage, S. 2; Werbeagenturen, S. 2
5) BSG 01.06.2022, B 3 KS 3/21 R, Rn. 17</t>
  </si>
  <si>
    <t xml:space="preserve">D-02</t>
  </si>
  <si>
    <t xml:space="preserve">Schwelle</t>
  </si>
  <si>
    <t xml:space="preserve">Unternehmen zahlt 2025 5.000 € an eine Design-GmbH und 600 € an einen freien Texter (natürliche Person). Eigenwerbung; GmbH 5.000 €; Texter 600 €</t>
  </si>
  <si>
    <t xml:space="preserve">DRV K5006, S. 3, Hinweis; Regel R-148</t>
  </si>
  <si>
    <t xml:space="preserve">1) KSK-FAQ Unternehmen und Verwerter, Frage 12
2) BSG 08.10.2014, B 3 KS 1/13 R, Rn. 4
3) KSK-Info 02, Abschn. 3, S. 1
4) Checkliste Eigenwerber, S. 2; vgl. R-142
5) BSG 02.04.2014, B 3 KS 3/12 R, Rn. 34</t>
  </si>
  <si>
    <t xml:space="preserve">D-04</t>
  </si>
  <si>
    <t xml:space="preserve">Generalklausel</t>
  </si>
  <si>
    <t xml:space="preserve">Unternehmen veranstaltet 2025 drei Veranstaltungen mit bezahlten Künstlern (Entgelte 5.000 €) mit Einnahmeabsicht; sonst keine Aufträge. 3 Veranstaltungen; 5.000 €; Einnahmeabsicht Wie D-03, aber vier Veranstaltungen. 4 Veranstaltungen; 5.000 €; Einnahmeabsicht</t>
  </si>
  <si>
    <t xml:space="preserve">DRV K5006, S. 2; Regel R-149</t>
  </si>
  <si>
    <t xml:space="preserve">1) KSK-FAQ Unternehmen und Verwerter, Frage 5
2) KSVG § 24 Abs. 2
3) KSK-Info 01, Abschn. 2, S. 2
4) KSK-FAQ Unternehmen und Verwerter, Frage 1c
5) BSG 28.09.2017, B 3 KS 2/16 R, Rn. 36</t>
  </si>
  <si>
    <t xml:space="preserve">A-09</t>
  </si>
  <si>
    <t xml:space="preserve">Beispiel der KSK: 48.000 € für 2018, Satz 2019 = 4,2 %. Entgelte 2018 48.000 €; Satz 2019 4,2 %</t>
  </si>
  <si>
    <t xml:space="preserve">KSK-Info 01, Abschn. 4, S. 7; Regel R-164</t>
  </si>
  <si>
    <t xml:space="preserve">1) KSK-Info 03, Abschn. 3, S. 2
2) BSG 28.03.2019, B 3 KS 1/18 R, Rn. 28
3) KSK-Info 05 (Archiv 2022-01-20), Abschn. 3, S. 1
4) KSK-Info 27, S. 2–3
5) KSVEntgV § 1</t>
  </si>
  <si>
    <t xml:space="preserve">A-13</t>
  </si>
  <si>
    <t xml:space="preserve">Vertragsgestaltung</t>
  </si>
  <si>
    <t xml:space="preserve">Vertrag zwischen Veranstalter und Band: „Die Band trägt die Künstlersozialabgabe.“ Klausel im Vertrag</t>
  </si>
  <si>
    <t xml:space="preserve">KSK-Info 26, S. 3–4; Regeln R-28, R-96, R-166</t>
  </si>
  <si>
    <t xml:space="preserve">1) KSK-Info 04 (Stand 08.2025), Abschn. 2d, S. 3
2) KSVG § 34 Abs. 2
3) KSK-Info 04, Abschn. 2d, S. 2
4) KSK-Info 04 (Stand 08.2025), Abschn. 2d, S. 2–3
5) BSG 02.04.2014, B 3 KS 3/12 R, Rn. 3</t>
  </si>
  <si>
    <t xml:space="preserve">A-14</t>
  </si>
  <si>
    <t xml:space="preserve">Unternehmerbegriff</t>
  </si>
  <si>
    <t xml:space="preserve">Eine versicherte Fotografin beauftragt 2026 für ihr Studio freie Assistenten (Bildbearbeitung, Layout) für insgesamt 2.500 €. Künstlerin als Unternehmerin; Aufträge für Eigenwerbung</t>
  </si>
  <si>
    <t xml:space="preserve">KSK-Info 01a, Abschn. 1, S. 2; Regeln R-152, R-24</t>
  </si>
  <si>
    <t xml:space="preserve">1) KSVG § 24 Abs. 2 Satz 1 Nr. 1, Satz 2
2) BSG 25.11.2010, B 3 KS 1/10 R, Rn. 1–2
3) KSK-Info 12, Abschn. 3, S. 2
4) Checkliste Eigenwerber, S. 2–3
5) BSG 01.06.2022, B 3 KS 3/21 R, Rn. 12</t>
  </si>
  <si>
    <t xml:space="preserve">C-06</t>
  </si>
  <si>
    <t xml:space="preserve">Rechtsformen</t>
  </si>
  <si>
    <t xml:space="preserve">Eine Agentur beauftragt eine KG (Grafikbüro) mit 4.000 € für ein Logo. Auftragnehmer KG</t>
  </si>
  <si>
    <t xml:space="preserve">Checkliste Allgemeines, S. 1; Regel R-177</t>
  </si>
  <si>
    <t xml:space="preserve">1) KSK-Info 27, S. 3
2) BSG 07.05.2020, B 3 KS 3/18 R, Leitsatz
3) KSK-Info 27, S. 1
4) KSK-Info 13, Abschn. II.1a, S. 2
5) BSG 16.07.2014, B 3 KS 3/13 R, Rn. 4</t>
  </si>
  <si>
    <t xml:space="preserve">C-07</t>
  </si>
  <si>
    <t xml:space="preserve">Eine Agentur beauftragt eine GbR aus zwei Illustratoren mit 4.000 €. Auftragnehmer GbR</t>
  </si>
  <si>
    <t xml:space="preserve">1) KSK-Info 06, Abschn. 1, S. 1–4 (Katalog beispielhaft, nicht abschließend)
2) BSG 25.11.2010, B 3 KS 1/10 R, Rn. 1–2
3) BSG 04.03.2004, B 3 KR 12/03 R, Rn. 7–8
4) Checkliste Eigenwerber, S. 4; Galerien, S. 2; Werbeagenturen, S. 2; vgl. R-27, R-111
5) BSG 01.06.2022, B 3 KS 3/21 R</t>
  </si>
  <si>
    <t xml:space="preserve">C-38</t>
  </si>
  <si>
    <t xml:space="preserve">Ein abgabepflichtiger gemeinnütziger Kunstverein zahlt 2025 einem Hobbyfotografen für ehrenamtliche Ausstellungsfotografie (nebenberufliche künstlerische Tätigkeit) 800 €; Ehrenamtspauschale wird bestätigt. Ehrenamtspauschale 840 € (2025); 800 €</t>
  </si>
  <si>
    <t xml:space="preserve">KSK-Info 24a, S. 1–3; Regel R-203, R-51</t>
  </si>
  <si>
    <t xml:space="preserve">1) KSK-Info 23 (Stand 01.2026), Abschn. 2, S. 1; KSK-Info 20 (Stand 01.2026), S. 1
2) BSG 28.09.2017, B 3 KS 2/16 R, Rn. 21
3) KSK-Info 23, Abschn. 2, S. 1
4) KSK-Info 20, S. 1
5) BSG 02.04.2014, B 3 KS 3/12 R, Rn. 23</t>
  </si>
  <si>
    <t xml:space="preserve">C-39</t>
  </si>
  <si>
    <t xml:space="preserve">Ein abgabepflichtiger gemeinnütziger Kunstverein zahlt 2025 einem Hobbyfotografen für ehrenamtliche Ausstellungsfotografie (nebenberufliche künstlerische Tätigkeit) 800 €; Ehrenamtspauschale wird bestätigt. Ehrenamtspauschale 840 € (2025); 800 € Wie C-38, aber Jahr 2024. Ehrenamtspauschale vor 2025</t>
  </si>
  <si>
    <t xml:space="preserve">KSK-Info 24a, S. 3; Regel R-203</t>
  </si>
  <si>
    <t xml:space="preserve">M-03</t>
  </si>
  <si>
    <t xml:space="preserve">Meldeverfahren</t>
  </si>
  <si>
    <t xml:space="preserve">Ein Verein (gegründet 2023, typischer Verwerter) meldet sich erstmals im Jahr 2026 und hatte nur 2024 Entgelte von 8.000 € gezahlt. Gründung 2023; Entgelte nur 2024; Meldung Oktober 2026</t>
  </si>
  <si>
    <t xml:space="preserve">KSK-Meldebogen rückwirkend, S. 1–2; Regeln R-209, R-87, R-163</t>
  </si>
  <si>
    <t xml:space="preserve">1) DRV K5006, Seite 2–3
2) BSG 07.05.2020, B 3 KS 3/18 R, Rn. 35
3) KSK-Webseite Entgeltmeldung
4) KSK-FAQ Unternehmen und Verwerter, Frage 5
5) BSG 02.04.2014, B 3 KS 3/12 R, Rn. 34</t>
  </si>
  <si>
    <t xml:space="preserve">M-09</t>
  </si>
  <si>
    <t xml:space="preserve">Ein Kunstverein stellt den Betrieb im Juni 2026 ein; bis dahin zahlte er 2026 Honorare von 6.000 €. Betriebsbeendigung 2026; Entgelte 6.000 €; Satz 4,9 %</t>
  </si>
  <si>
    <t xml:space="preserve">KSK-Meldebogen rückwirkend, S. 1; Regeln R-207, R-89</t>
  </si>
  <si>
    <t xml:space="preserve">1) KSK-Info 23 (Stand 01.2026), Abschn. 2, S. 1; KSK-Info 20 (Stand 01.2026), S. 1
2) BSG 02.04.2014, B 3 KS 3/12 R, Rn. 3
3) KSK-Info 20, S. 1
4) KSK-Info 12, Abschn. 4, S. 2–3
5) BSG 02.04.2014, B 3 KS 3/12 R, Rn. 28</t>
  </si>
  <si>
    <t xml:space="preserve">L-12</t>
  </si>
  <si>
    <t xml:space="preserve">Abgabebescheid per Post am Dienstag, 03.03.2026 aufgegeben, mit vollständiger Rechtsbehelfsbelehrung. Bis wann ist Widerspruch einzulegen? Aufgabe zur Post 03.03.2026; Inland; Belehrung vollständig</t>
  </si>
  <si>
    <t xml:space="preserve">SGB X § 37 Abs. 2, § 26 Abs. 1, 3; SGG § 84 Abs. 1; R-227; R-230</t>
  </si>
  <si>
    <t xml:space="preserve">1) SGG § 66 Abs. 1 und 2
2) BSG 28.09.2017, B 3 KS 2/16 R, Rn. 17
3) BSG 04.03.2004, B 3 KR 15/03 R, Rn. 8
4) SGG § 87 Abs. 1 und 2
5) BSG 08.10.2014, B 3 KS 1/13 R, Rn. 8–11</t>
  </si>
  <si>
    <t xml:space="preserve">L-22</t>
  </si>
  <si>
    <t xml:space="preserve">Entgelt / Sachleistung</t>
  </si>
  <si>
    <t xml:space="preserve">Ein Verlag bezahlt eine freie Illustratorin teils mit 1.500 € und teils mit einem Warengutschein, dessen Wert nicht angegeben ist. Honorar 1.500 €; Gegenleistung Gutschein, Wert unbekannt</t>
  </si>
  <si>
    <t xml:space="preserve">KSVG § 25 Abs. 2 S. 1; KSK-Info 10, Abschn. 1; Checkliste Allgemeines (Sachleistungen); R-41; R-174</t>
  </si>
  <si>
    <t xml:space="preserve">1) KSK-Info 06, Abschn. 1, S. 1–4 (Katalog beispielhaft, nicht abschließend)
2) BSG 25.02.2015, B 3 KS 5/13 R, Rn. 14
3) KSK-Fragebogen Teil II Gesellschafter, Abschn. 12.1, S. 3
4) KSVG § 24 Abs. 1 Satz 1 Nr. 1
5) BSG 02.04.2014, B 3 KS 3/12 R, Rn. 28</t>
  </si>
  <si>
    <t xml:space="preserve">L-23</t>
  </si>
  <si>
    <t xml:space="preserve">Entgelt / Währung</t>
  </si>
  <si>
    <t xml:space="preserve">Ein Unternehmen zahlt einem Fotografen in den USA 2.000 US-Dollar für Werbefotos. Betrag 2.000 USD; Umrechnungskurs nicht angegeben</t>
  </si>
  <si>
    <t xml:space="preserve">KSVG § 25 Abs. 1, 2, 4; R-41; R-70</t>
  </si>
  <si>
    <t xml:space="preserve">1) Checkliste Eigenwerber, S. 2; vgl. R-65, R-66
2) BSG 25.11.2010, B 3 KS 1/10 R, Rn. 28
3) BSG 04.03.2004, B 3 KR 15/03 R, Rn. 4
4) KSK-Info 03, Abschn. 3, S. 2
5) BSG 25.11.2010, B 3 KS 1/10 R, Rn. 1–2</t>
  </si>
  <si>
    <t xml:space="preserve">L-24</t>
  </si>
  <si>
    <t xml:space="preserve">Zeitpunkt</t>
  </si>
  <si>
    <t xml:space="preserve">Eine Agentur erhält die Rechnung eines Grafikers im Dezember 2025 über 2.000 € und zahlt sie im Januar 2026. Rechnung 12/2025; Zahlung 01/2026; Betrag 2.000 €</t>
  </si>
  <si>
    <t xml:space="preserve">KSVG § 25 Abs. 1 S. 1; KSVG § 24 Abs. 2 S. 2 („in einem Kalenderjahr erteilten Auftrag“); R-41</t>
  </si>
  <si>
    <t xml:space="preserve">1) KSK-Info 01, Abschn. 4, S. 7
2) KSVG § 37a Abs. 1
3) KSK-FAQ Unternehmen und Verwerter, Frage 11
4) KSK-Info 06, Abschn. 1, S. 1–4 (Katalog beispielhaft, nicht abschließend)
5) KSVG § 37b Abs. 1</t>
  </si>
  <si>
    <t xml:space="preserve">N-09</t>
  </si>
  <si>
    <t xml:space="preserve">Ein Veranstalter zahlt 2024 600 € an die GEMA. Zahlung an Verwertungsgesellschaft: 600 €</t>
  </si>
  <si>
    <t xml:space="preserve">R-44; KSK-Info 10, Abschn. 1, S. 2; KSK-Info 12, S. 4</t>
  </si>
  <si>
    <t xml:space="preserve">1) KSK-FAQ Unternehmen und Verwerter, Frage 4; Handlungshilfen Kulturförderung
2) BSG 02.04.2014, B 3 KS 3/12 R, Rn. 7–8
3) KSK-FAQ Unternehmen und Verwerter, Frage 23
4) Checkliste Veranstalter, S. 2; Galerien, S. 2; Verlage, S. 2; Werbeagenturen, S. 2
5) BSG 02.04.2014, B 3 KS 3/12 R, Rn. 29–30</t>
  </si>
  <si>
    <t xml:space="preserve">N-10</t>
  </si>
  <si>
    <t xml:space="preserve">Eine Agentur-GmbH weist ihrem Gesellschafter-Künstler 2024 einen Gewinnanteil von 5.000 € zu. Gewinnzuweisung an Gesellschafter: 5.000 €</t>
  </si>
  <si>
    <t xml:space="preserve">R-46; KSK-Info 10, Abschn. 1, S. 2</t>
  </si>
  <si>
    <t xml:space="preserve">1) Checkliste Werbeagenturen, S. 3; vgl. R-46, R-95
2) BSG 02.04.2014, B 3 KS 3/12 R, Rn. 4
3) KSK-Merkblatt Gesellschafter GmbH, S. 1
4) KSK-Fragebogen Teil I, Ziff. 1–8; Teil II, Ziff. 1–12 (Stand 01.2025); vgl. R-200, R-220
5) BSG 07.05.2020, B 3 KS 3/18 R, Rn. 5</t>
  </si>
  <si>
    <t xml:space="preserve">N-37</t>
  </si>
  <si>
    <t xml:space="preserve">Meldepflicht</t>
  </si>
  <si>
    <t xml:space="preserve">Eine Agentur beauftragt seit Jahren regelmäßig freie Texter und hat sich nie bei der KSK gemeldet. Zahlt regelmäßig an Selbständige; nie gemeldet</t>
  </si>
  <si>
    <t xml:space="preserve">R-161; KSK-Info 01, Abschn. 1 und 4, S. 1, 6; KSK-Info 26, S. 2</t>
  </si>
  <si>
    <t xml:space="preserve">1) KSK-Info 09, Abschn. 3.1–3.3, S. 3–4
2) KSVG § 24 Abs. 2
3) KSK-Info 20, S. 1
4) KSK-Info 06, Abschn. 1, S. 1–4 (Katalog beispielhaft, nicht abschließend)
5) BSG 01.06.2022, B 3 KS 3/21 R, Rn. 21</t>
  </si>
  <si>
    <t xml:space="preserve">N-47</t>
  </si>
  <si>
    <t xml:space="preserve">Katalog</t>
  </si>
  <si>
    <t xml:space="preserve">Ein privater Radiosender beauftragt freie Sprecher. Unternehmensart: Rundfunk</t>
  </si>
  <si>
    <t xml:space="preserve">R-04; KSVG § 24 Abs. 1 Satz 1 Nr. 4</t>
  </si>
  <si>
    <t xml:space="preserve">1) KSK-Info 09, Abschn. 3.1–3.3, S. 3–4
2) BSG 16.07.2014, B 3 KS 3/13 R, Rn. 1–2
3) KSK-Info 01a, Abschn. 1.7, S. 3
4) KSK-FAQ Unternehmen und Verwerter, Frage 15, 16
5) LSG Berlin-Brandenburg 14.01.2010, L 9 KR 142/03</t>
  </si>
  <si>
    <t xml:space="preserve">N-50</t>
  </si>
  <si>
    <t xml:space="preserve">Eine Werbeagentur zahlt 5.000 € an einen freien Texter. Unternehmensart: Werbeagentur für Dritte</t>
  </si>
  <si>
    <t xml:space="preserve">R-07; KSVG § 24 Abs. 1 Satz 1 Nr. 7</t>
  </si>
  <si>
    <t xml:space="preserve">1) KSK-Info 03 (Stand 08.2025), Abschn. 2, S. 1
2) BSG 28.09.2017, B 3 KS 2/16 R, Rn. 23
3) BSG 24.07.2003, B 3 KR 37/02 R, Rn. 26
4) Checkliste Eigenwerber, S. 3; Galerien, S. 2; Werbeagenturen, S. 2
5) BSG 28.09.2017, B 3 KS 2/16 R, Rn. 30</t>
  </si>
  <si>
    <t xml:space="preserve">N-51</t>
  </si>
  <si>
    <t xml:space="preserve">Ein Museum beauftragt einen selbständigen Ausstellungsgestalter. Unternehmensart: Museum</t>
  </si>
  <si>
    <t xml:space="preserve">R-08; KSVG § 24 Abs. 1 Satz 1 Nr. 8</t>
  </si>
  <si>
    <t xml:space="preserve">1) KSK-FAQ Unternehmen und Verwerter, Frage 4; Handlungshilfen Kulturförderung
2) BSG 01.06.2022, B 3 KS 3/21 R, Rn. 12
3) KSK-Info 22, Abschn. 1, S. 1
4) KSK-Info 01a, Abschn. 1.12, S. 4
5) KSVG § 24 Abs. 2</t>
  </si>
  <si>
    <t xml:space="preserve">N-52</t>
  </si>
  <si>
    <t xml:space="preserve">Eine private Musikschule beschäftigt selbständige Musiklehrer auf Honorarbasis. Unternehmensart: Aus- und Fortbildungseinrichtung künstlerisch</t>
  </si>
  <si>
    <t xml:space="preserve">R-09; KSVG § 24 Abs. 1 Satz 1 Nr. 9</t>
  </si>
  <si>
    <t xml:space="preserve">1) KSK-Info 06, Abschn. 1, S. 1–4 (Katalog beispielhaft, nicht abschließend)
2) LSG Berlin-Brandenburg 14.01.2010, L 9 KR 142/03
3) KSK-Webseite Bemessungsgrundlage
4) KSK-Info 09, Abschn. 3.1–3.3, S. 3–4
5) BSG 16.07.2014, B 3 KS 3/13 R, Rn. 15</t>
  </si>
  <si>
    <t xml:space="preserve">N-53</t>
  </si>
  <si>
    <t xml:space="preserve">Ein Grafiker stellt 1.000 € netto und 190 € Umsatzsteuer in Rechnung. Honorar netto 1.000 €; USt 190 € gesondert ausgewiesen</t>
  </si>
  <si>
    <t xml:space="preserve">R-18; KSVG § 25 Abs. 1, 2</t>
  </si>
  <si>
    <t xml:space="preserve">1) KSK-Info 10, Abschn. 1, S. 2
2) BSG 02.04.2014, B 3 KS 3/12 R, Rn. 22
3) KSK-Checkliste für Eigenwerber, Abschn. 2, S. 1
4) KSK-Info 10, Abschn. 1, S. 1; KSK-Info 12, S. 3
5) KSVG § 25 Abs. 2</t>
  </si>
  <si>
    <t xml:space="preserve">N-61</t>
  </si>
  <si>
    <t xml:space="preserve">Ein Verein zahlt einem Chorleiter eine Übungsleiterpauschale von 2.000 €; die Voraussetzungen des § 3 Nr. 26 EStG sind erfüllt. Übungsleiterpauschale 2.000 €; Voraussetzungen erfüllt (angenommen)</t>
  </si>
  <si>
    <t xml:space="preserve">R-68; KSVG § 25 Abs. 2 Satz 2 Nr. 2 (Vergleich Kopie 2024-05-21 und Momentaufnahme 2026-10-08)</t>
  </si>
  <si>
    <t xml:space="preserve">1) KSK-Info 12, Abschn. 4, S. 2–3
2) BSG 01.06.2022, B 3 KS 3/21 R, Rn. 12
3) KSK-Info 10, Abschn. 1, S. 1
4) KSK-Info 24, Abschn. 1–3, S. 1–2 und Muster-Bestätigung
5) BSG 28.09.2017, B 3 KS 2/16 R, Rn. 3</t>
  </si>
  <si>
    <t xml:space="preserve">Q-03</t>
  </si>
  <si>
    <t xml:space="preserve">Typische Verwerter</t>
  </si>
  <si>
    <t xml:space="preserve">Eine Werbeagentur beauftragt 2026 einen selbständigen Grafiker für Kundenwerbung und zahlt 900 € netto. Unternehmensart: Werbung für Dritte; Honorar 900 € netto; Abgabesatz 2026: 4,9 %</t>
  </si>
  <si>
    <t xml:space="preserve">KSVG § 24 Abs. 1 S. 1 Nr. 7; R-07; KSAbg2026V § 1</t>
  </si>
  <si>
    <t xml:space="preserve">1) KSK-Info 03 (Stand 08.2025), Abschn. 2, S. 1
2) BSG 25.11.2010, B 3 KS 1/10 R, Rn. 21
3) KSK-Checkliste für Werbeagenturen, S. 1
4) KSK-Info 03, Abschn. 3, S. 2
5) BSG 28.09.2017, B 3 KS 2/16 R, Rn. 23</t>
  </si>
  <si>
    <t xml:space="preserve">Q-04</t>
  </si>
  <si>
    <t xml:space="preserve">Eine bereits abgabepflichtige Agentur erhält im Dezember 2025 die Rechnung eines Grafikers über 2.000 € netto und zahlt sie vollständig im Januar 2026. Keine Vorschüsse; Zahlungsdatum bekannt. Rechnung 12/2025; vollständige Zahlung 01/2026; 2.000 € netto; keine Vorschüsse</t>
  </si>
  <si>
    <t xml:space="preserve">KSVG § 25 Abs. 1 S. 1; R-41; KSAbg2026V § 1; vgl. L-24 (Gegenindiz „fällig geworden“ offen)</t>
  </si>
  <si>
    <t xml:space="preserve">1) KSK-Info 11 (Stand 09.2025), Abschn. 1–3, S. 1–2
2) KSVG § 37a Abs. 1
3) KSK-FAQ Unternehmen und Verwerter, Frage 11
4) KSK-Info 03 (Stand 08.2025), Abschn. 2, S. 1
5) BSG 16.07.2014, B 3 KS 3/13 R, Rn. 23</t>
  </si>
  <si>
    <t xml:space="preserve">F-01</t>
  </si>
  <si>
    <t xml:space="preserve">Fallgruppen</t>
  </si>
  <si>
    <t xml:space="preserve">Ein professioneller Konzertveranstalter (Konzertdirektion) führt 2025 zwei Veranstaltungen mit selbständigen Musikern durch, Gagen zusammen 300 €. Typischer Verwerter (Konzertdirektion); 2 Veranstaltungen; 300 €</t>
  </si>
  <si>
    <t xml:space="preserve">KSVG § 24 Abs. 1 S. 1 Nr. 3, Abs. 2 S. 3 Nr. 1; R-07; R-29; R-30; KSAbg2025V § 1</t>
  </si>
  <si>
    <t xml:space="preserve">1) KSK-Info 13 (Stand 09.2025), Abschn. II.1, S. 1–2
2) LSG Berlin-Brandenburg 14.01.2010, L 9 KR 142/03
3) KSK-FAQ Unternehmen und Verwerter, Frage 23
4) KSK-Info 01a, Abschn. 1.6, S. 3
5) LSG Berlin-Brandenburg 14.01.2010, L 9 KR 142/03</t>
  </si>
  <si>
    <t xml:space="preserve">H-02</t>
  </si>
  <si>
    <t xml:space="preserve">Rechnungsanalyse</t>
  </si>
  <si>
    <t xml:space="preserve">Rechnung der Atelier Transit GmbH (fiktiver Testbeleg AT-2026-204, 05.10.2026) an die Hafenforum Events KG mit 12 Positionen, Netto 8.956 €: Pos. 1–3, 7, 8, 11, 12 und Pos. 9 (GmbH-Eigenleistungen, Weitergaben) zusammen 5.300 €, Pos. 4 Eventdokumentation 940 €, Pos. 5 Gastbeitrag Lina Berg 850 € (Vertretung), Pos. 6 Musik Elias Kern 720 € (Agentur im eigenen Namen), Pos. 10 Reise Berg 206 € (Belege angekündigt). Es ist nicht bekannt, ob das Hafenforum abgabepflichtig ist, wer Pos. 4 erbringt, ob die Agentur abgabepflichtig ist; Belege fehlen. Empfängerstatus unbekannt; Pos. 4 unklar; Agentur unbekannt; Belege fehlen</t>
  </si>
  <si>
    <t xml:space="preserve">KSVG § 25 Abs. 1–3; R-138; R-33; R-36; R-47; R-78; R-176</t>
  </si>
  <si>
    <t xml:space="preserve">1) KSK-Info 10, Abschn. 1, S. 2; KSK-Info 12, S. 4
2) BSG 16.07.2014, B 3 KS 3/13 R, Rn. 1–2
3) KSK-Info 03, Abschn. 5, S. 2
4) KSK-Info 03, Abschn. 5, S. 2–3
5) BSG 01.06.2022, B 3 KS 3/21 R, Rn. 12</t>
  </si>
  <si>
    <t xml:space="preserve">H-03</t>
  </si>
  <si>
    <t xml:space="preserve">Rechnung der Atelier Transit GmbH (fiktiver Testbeleg AT-2026-204, 05.10.2026) an die Hafenforum Events KG mit 12 Positionen, Netto 8.956 €: Pos. 1–3, 7, 8, 11, 12 und Pos. 9 (GmbH-Eigenleistungen, Weitergaben) zusammen 5.300 €, Pos. 4 Eventdokumentation 940 €, Pos. 5 Gastbeitrag Lina Berg 850 € (Vertretung), Pos. 6 Musik Elias Kern 720 € (Agentur im eigenen Namen), Pos. 10 Reise Berg 206 € (Belege angekündigt). Das Hafenforum ist abgabepflichtig; Pos. 4, Abgabestatus der Agentur und Belege sind offen. Empfänger abgabepflichtig; Pos. 4, Agentur, Belege offen</t>
  </si>
  <si>
    <t xml:space="preserve">R-138; R-33; R-36; R-47; R-78; R-176</t>
  </si>
  <si>
    <t xml:space="preserve">Datei</t>
  </si>
  <si>
    <t xml:space="preserve">Kurzname (für die Fundstelle)</t>
  </si>
  <si>
    <t xml:space="preserve">Art</t>
  </si>
  <si>
    <t xml:space="preserve">Stufe (Vorschlag)</t>
  </si>
  <si>
    <t xml:space="preserve">gilt von (Jahr)</t>
  </si>
  <si>
    <t xml:space="preserve">gilt bis (Jahr)</t>
  </si>
  <si>
    <t xml:space="preserve">aufnehmen</t>
  </si>
  <si>
    <t xml:space="preserve">nachrangig</t>
  </si>
  <si>
    <t xml:space="preserve">Bemerkung</t>
  </si>
  <si>
    <t xml:space="preserve">Richtiges gilt von</t>
  </si>
  <si>
    <t xml:space="preserve">Richtiges gilt bis</t>
  </si>
  <si>
    <t xml:space="preserve">Richtige Stufe</t>
  </si>
  <si>
    <t xml:space="preserve">KSVG.pdf</t>
  </si>
  <si>
    <t xml:space="preserve">KSVG</t>
  </si>
  <si>
    <t xml:space="preserve">Gesetz</t>
  </si>
  <si>
    <t xml:space="preserve">1 Amtlich (Gesetz, Verordnung, Urteil)</t>
  </si>
  <si>
    <t xml:space="preserve">2025</t>
  </si>
  <si>
    <t xml:space="preserve">bis heute</t>
  </si>
  <si>
    <t xml:space="preserve">ja</t>
  </si>
  <si>
    <t xml:space="preserve">nein</t>
  </si>
  <si>
    <t xml:space="preserve">aktueller Text; gilt ab 2025 (BEG IV, BGBl. 2024 I Nr. 323, u. a. § 54), spätere Änderungen 2026 eingeschlossen</t>
  </si>
  <si>
    <t xml:space="preserve">KSVEntgV.pdf</t>
  </si>
  <si>
    <t xml:space="preserve">KSVEntgV</t>
  </si>
  <si>
    <t xml:space="preserve">Verordnung</t>
  </si>
  <si>
    <t xml:space="preserve">offen nach unten</t>
  </si>
  <si>
    <t xml:space="preserve">KSVGBeitrUeV.pdf</t>
  </si>
  <si>
    <t xml:space="preserve">KSVGBeitrÜV</t>
  </si>
  <si>
    <t xml:space="preserve">KSKSaV.pdf</t>
  </si>
  <si>
    <t xml:space="preserve">KSKSaV</t>
  </si>
  <si>
    <t xml:space="preserve">KSAbg2025V.pdf</t>
  </si>
  <si>
    <t xml:space="preserve">KSAbg2025V</t>
  </si>
  <si>
    <t xml:space="preserve">KSAbg2026V.pdf</t>
  </si>
  <si>
    <t xml:space="preserve">KSAbg2026V</t>
  </si>
  <si>
    <t xml:space="preserve">2026</t>
  </si>
  <si>
    <t xml:space="preserve">KSAbg2023V.pdf</t>
  </si>
  <si>
    <t xml:space="preserve">KSAbg2023V</t>
  </si>
  <si>
    <t xml:space="preserve">2023</t>
  </si>
  <si>
    <t xml:space="preserve">KSAbg2024V.pdf</t>
  </si>
  <si>
    <t xml:space="preserve">KSAbg2024V</t>
  </si>
  <si>
    <t xml:space="preserve">2024</t>
  </si>
  <si>
    <t xml:space="preserve">KSK-Info_01_Allgemeines_und_Verfahren.pdf</t>
  </si>
  <si>
    <t xml:space="preserve">KSK-Info 01</t>
  </si>
  <si>
    <t xml:space="preserve">KSK</t>
  </si>
  <si>
    <t xml:space="preserve">2 Verwaltung (Auslegung der KSK/DRV, kein Gesetz)</t>
  </si>
  <si>
    <t xml:space="preserve">KSK-Info_01a_Abgabepflichtige_Unternehmensbranchen.pdf</t>
  </si>
  <si>
    <t xml:space="preserve">KSK-Info 01a</t>
  </si>
  <si>
    <t xml:space="preserve">KSK-Info_02_Verwertung_von_Design-Leistungen.pdf</t>
  </si>
  <si>
    <t xml:space="preserve">KSK-Info 02</t>
  </si>
  <si>
    <t xml:space="preserve">KSK-Info_03_Abgabepflicht_von_Werbeunternehmen.pdf</t>
  </si>
  <si>
    <t xml:space="preserve">KSK-Info 03</t>
  </si>
  <si>
    <t xml:space="preserve">KSK-Info_04_Abgabepflicht_von_Veranstaltern.pdf</t>
  </si>
  <si>
    <t xml:space="preserve">KSK-Info 04</t>
  </si>
  <si>
    <t xml:space="preserve">KSK-Info_05_Abgabepflicht_fuer_Eigenwerber.pdf</t>
  </si>
  <si>
    <t xml:space="preserve">KSK-Info 05</t>
  </si>
  <si>
    <t xml:space="preserve">KSK-Info_06_Kuenstlerische_publizistische_Taetigkeiten_und_Abgabesaetze.pdf</t>
  </si>
  <si>
    <t xml:space="preserve">KSK-Info 06</t>
  </si>
  <si>
    <t xml:space="preserve">KSK-Info_06_EN_Artistic_journalistic_occupation_groups.pdf</t>
  </si>
  <si>
    <t xml:space="preserve">englische Fassung; deutsche Fassung ist indexiert</t>
  </si>
  <si>
    <t xml:space="preserve">KSK-Info_07_Abgabepflicht_von_Theaterunternehmen.pdf</t>
  </si>
  <si>
    <t xml:space="preserve">KSK-Info 07</t>
  </si>
  <si>
    <t xml:space="preserve">KSK-Info_08_Abgabepflicht_von_Orchesterunternehmen.pdf</t>
  </si>
  <si>
    <t xml:space="preserve">KSK-Info 08</t>
  </si>
  <si>
    <t xml:space="preserve">KSK-Info_09_Abgrenzungskatalog.pdf</t>
  </si>
  <si>
    <t xml:space="preserve">KSK-Info 09</t>
  </si>
  <si>
    <t xml:space="preserve">KSK-Info_10_Ausnahmen_zur_Bemessungsgrundlage_Reise_und_Bewirtungskosten.pdf</t>
  </si>
  <si>
    <t xml:space="preserve">KSK-Info 10</t>
  </si>
  <si>
    <t xml:space="preserve">KSK-Info_11_Staedte_Landkreise_Gemeinden.pdf</t>
  </si>
  <si>
    <t xml:space="preserve">KSK-Info 11</t>
  </si>
  <si>
    <t xml:space="preserve">KSK-Info_12_Abgabepflicht_von_Musikvereinen.pdf</t>
  </si>
  <si>
    <t xml:space="preserve">KSK-Info 12</t>
  </si>
  <si>
    <t xml:space="preserve">KSK-Info_13_Ausstellungs_und_Messegesellschaften.pdf</t>
  </si>
  <si>
    <t xml:space="preserve">KSK-Info 13</t>
  </si>
  <si>
    <t xml:space="preserve">KSK-Info_14_Banken_Sparkassen_Bausparkassen.pdf</t>
  </si>
  <si>
    <t xml:space="preserve">KSK-Info 14</t>
  </si>
  <si>
    <t xml:space="preserve">KSK-Info_15_Chemische_Industrie.pdf</t>
  </si>
  <si>
    <t xml:space="preserve">KSK-Info 15</t>
  </si>
  <si>
    <t xml:space="preserve">KSK-Info_16_Sozialversicherungstraeger_und_oeffentlich_rechtliche_Institutionen.pdf</t>
  </si>
  <si>
    <t xml:space="preserve">KSK-Info 16</t>
  </si>
  <si>
    <t xml:space="preserve">KSK-Info_17_Aufzeichnungspflichten.pdf</t>
  </si>
  <si>
    <t xml:space="preserve">KSK-Info 17</t>
  </si>
  <si>
    <t xml:space="preserve">KSK-Info_18_Betriebspruefungen.pdf</t>
  </si>
  <si>
    <t xml:space="preserve">KSK-Info 18</t>
  </si>
  <si>
    <t xml:space="preserve">KSK-Info_19_Gruendung_von_Ausgleichsvereinigungen.pdf</t>
  </si>
  <si>
    <t xml:space="preserve">KSK-Info 19</t>
  </si>
  <si>
    <t xml:space="preserve">KSK-Info_20_Abgabepflicht_von_Kunstvereinen.pdf</t>
  </si>
  <si>
    <t xml:space="preserve">KSK-Info 20</t>
  </si>
  <si>
    <t xml:space="preserve">KSK-Info_21_Galerien_Kunsthaendler_Kunstauktionshaeuser.pdf</t>
  </si>
  <si>
    <t xml:space="preserve">KSK-Info 21</t>
  </si>
  <si>
    <t xml:space="preserve">KSK-Info_22_Beauftragung_auslaendischer_Kuenstler.pdf</t>
  </si>
  <si>
    <t xml:space="preserve">KSK-Info 22</t>
  </si>
  <si>
    <t xml:space="preserve">KSK-Info_23_Abgabepflicht_bei_Gemeinnuetzigkeit.pdf</t>
  </si>
  <si>
    <t xml:space="preserve">KSK-Info 23</t>
  </si>
  <si>
    <t xml:space="preserve">KSK-Info_24_Uebungsleiterpauschale.pdf</t>
  </si>
  <si>
    <t xml:space="preserve">KSK-Info 24</t>
  </si>
  <si>
    <t xml:space="preserve">KSK-Info_24a_Ehrenamtspauschale.pdf</t>
  </si>
  <si>
    <t xml:space="preserve">KSK-Info 24a</t>
  </si>
  <si>
    <t xml:space="preserve">KSK-Info_25_Informationen_fuer_Steuerberater.pdf</t>
  </si>
  <si>
    <t xml:space="preserve">KSK-Info 25</t>
  </si>
  <si>
    <t xml:space="preserve">KSK-Info_26_Kurzinformation_zur_Kuenstlersozialabgabe.pdf</t>
  </si>
  <si>
    <t xml:space="preserve">KSK-Info 26</t>
  </si>
  <si>
    <t xml:space="preserve">KSK-Info_26_EN_Artists_Social_Security_Insurance_Levy.pdf</t>
  </si>
  <si>
    <t xml:space="preserve">KSK-Info_27_Vermittlung_und_Vertretung.pdf</t>
  </si>
  <si>
    <t xml:space="preserve">KSK-Info 27</t>
  </si>
  <si>
    <t xml:space="preserve">KSK-Info_28_Anlage_zum_Anmelde_und_Erhebungsbogen.pdf</t>
  </si>
  <si>
    <t xml:space="preserve">KSK-Info 28</t>
  </si>
  <si>
    <t xml:space="preserve">KSK-Info_29_Informationen_fuer_Foerdergeldempfaenger.pdf</t>
  </si>
  <si>
    <t xml:space="preserve">KSK-Info 29</t>
  </si>
  <si>
    <t xml:space="preserve">KSK-Merkblatt_Sozialversicherungsrechtliche_Beurteilung_von_Gesellschaftern_GmbH.pdf</t>
  </si>
  <si>
    <t xml:space="preserve">KSK-Merkblatt Gesellschafter GmbH</t>
  </si>
  <si>
    <t xml:space="preserve">KSK-Checkliste_Allgemein.pdf</t>
  </si>
  <si>
    <t xml:space="preserve">KSK-Checkliste Allgemein</t>
  </si>
  <si>
    <t xml:space="preserve">KSK-Checkliste_Verlage.pdf</t>
  </si>
  <si>
    <t xml:space="preserve">KSK-Checkliste für Verlage</t>
  </si>
  <si>
    <t xml:space="preserve">KSK-Checkliste_Galerien.pdf</t>
  </si>
  <si>
    <t xml:space="preserve">KSK-Checkliste für Galerien</t>
  </si>
  <si>
    <t xml:space="preserve">KSK-Checkliste_Werbeagenturen.pdf</t>
  </si>
  <si>
    <t xml:space="preserve">KSK-Checkliste für Werbeagenturen</t>
  </si>
  <si>
    <t xml:space="preserve">KSK-Checkliste_Veranstalter.pdf</t>
  </si>
  <si>
    <t xml:space="preserve">KSK-Checkliste für Veranstalter</t>
  </si>
  <si>
    <t xml:space="preserve">KSK-Checkliste_Eigenwerber.pdf</t>
  </si>
  <si>
    <t xml:space="preserve">KSK-Checkliste für Eigenwerber</t>
  </si>
  <si>
    <t xml:space="preserve">BGBl_2026_I_262_KSA-Verordnung_2027.pdf</t>
  </si>
  <si>
    <t xml:space="preserve">BGBl. 2026 I Nr. 262</t>
  </si>
  <si>
    <t xml:space="preserve">2027</t>
  </si>
  <si>
    <t xml:space="preserve">BGBl_2026_I_228.pdf</t>
  </si>
  <si>
    <t xml:space="preserve">BGBl. 2026 I Nr. 228</t>
  </si>
  <si>
    <t xml:space="preserve">ergaenzend/SGB_IV.pdf</t>
  </si>
  <si>
    <t xml:space="preserve">SGB IV</t>
  </si>
  <si>
    <t xml:space="preserve">ergaenzend/DRV_K5000_Pruefung_Abgabepflicht_KSVG.pdf</t>
  </si>
  <si>
    <t xml:space="preserve">DRV K5000</t>
  </si>
  <si>
    <t xml:space="preserve">DRV</t>
  </si>
  <si>
    <t xml:space="preserve">ergaenzend/DRV_K5001_Information_Kuenstlersozialabgabe.pdf</t>
  </si>
  <si>
    <t xml:space="preserve">DRV K5001</t>
  </si>
  <si>
    <t xml:space="preserve">ergaenzend/DRV_K5006_Hinweise_Abgabepflicht_KSVG.pdf</t>
  </si>
  <si>
    <t xml:space="preserve">DRV K5006</t>
  </si>
  <si>
    <t xml:space="preserve">ergaenzend/BGBl_2024_I_323_BEG_IV.pdf</t>
  </si>
  <si>
    <t xml:space="preserve">BGBl. 2024 I Nr. 323</t>
  </si>
  <si>
    <t xml:space="preserve">ergaenzend/Materialien_BT-Drs_20-3900_Regierungsentwurf_8SGB-IV-AendG.pdf</t>
  </si>
  <si>
    <t xml:space="preserve">BT-Drs. 20/3900</t>
  </si>
  <si>
    <t xml:space="preserve">Material</t>
  </si>
  <si>
    <t xml:space="preserve">3 Sekundär (nur Hinweis, nie Grundlage)</t>
  </si>
  <si>
    <t xml:space="preserve">Gesetzesmaterial, nicht verbindlich: nur Hinweis</t>
  </si>
  <si>
    <t xml:space="preserve">ergaenzend/KSK-Formular_Anmelde-_und_Erhebungsbogen.pdf</t>
  </si>
  <si>
    <t xml:space="preserve">KSK-Anmelde- und Erhebungsbogen</t>
  </si>
  <si>
    <t xml:space="preserve">ergaenzend/KSK-Formular_Meldebogen_Entgelte_2025.pdf</t>
  </si>
  <si>
    <t xml:space="preserve">KSK-Meldebogen Entgelte 2025</t>
  </si>
  <si>
    <t xml:space="preserve">ergaenzend/KSK-Anleitung_Ausfuellhinweise_Anmeldebogen.pdf</t>
  </si>
  <si>
    <t xml:space="preserve">KSK-Ausfüllhinweise Anmeldebogen</t>
  </si>
  <si>
    <t xml:space="preserve">ergaenzend/KSK-Formular_Meldebogen_rueckwirkend_5Jahre.pdf</t>
  </si>
  <si>
    <t xml:space="preserve">KSK-Meldebogen rückwirkend fünf Jahre</t>
  </si>
  <si>
    <t xml:space="preserve">ergaenzend/KSK-Formular_Korrektur-Meldebogen.pdf</t>
  </si>
  <si>
    <t xml:space="preserve">KSK-Korrektur-Meldebogen</t>
  </si>
  <si>
    <t xml:space="preserve">ergaenzend/KSK-Fragebogen_Unternehmereigenschaft_Projekte.pdf</t>
  </si>
  <si>
    <t xml:space="preserve">KSK-Fragebogen Unternehmereigenschaft Projekte</t>
  </si>
  <si>
    <t xml:space="preserve">ergaenzend/KSK-Handlungshilfen_Kulturfoerderung_FAQ.pdf</t>
  </si>
  <si>
    <t xml:space="preserve">KSK-Handlungshilfen Kulturförderung</t>
  </si>
  <si>
    <t xml:space="preserve">ergaenzend/KSK-FAQ_Unternehmen_und_Verwerter.txt</t>
  </si>
  <si>
    <t xml:space="preserve">KSK-FAQ Unternehmen und Verwerter</t>
  </si>
  <si>
    <t xml:space="preserve">ergaenzend/EStG.pdf</t>
  </si>
  <si>
    <t xml:space="preserve">EStG</t>
  </si>
  <si>
    <t xml:space="preserve">ergaenzend/KSK-Webseite_Bemessungsgrundlage.txt</t>
  </si>
  <si>
    <t xml:space="preserve">KSK-Webseite Bemessungsgrundlage</t>
  </si>
  <si>
    <t xml:space="preserve">ergaenzend/KSVG_Archiv_2022-01-22.pdf</t>
  </si>
  <si>
    <t xml:space="preserve">2022</t>
  </si>
  <si>
    <t xml:space="preserve">ergaenzend/KSVG_Archiv_2023-05-13.pdf</t>
  </si>
  <si>
    <t xml:space="preserve">ergaenzend/KSVG_Archiv_2024-05-21.pdf</t>
  </si>
  <si>
    <t xml:space="preserve">ergaenzend/alte_ksk_infos/KSK-Info_01_Archiv_2022-01-20.pdf</t>
  </si>
  <si>
    <t xml:space="preserve">KSK-Info 01 (Archiv 2022-01-20)</t>
  </si>
  <si>
    <t xml:space="preserve">ergaenzend/alte_ksk_infos/KSK-Info_01_Archiv_2023-05-11.pdf</t>
  </si>
  <si>
    <t xml:space="preserve">KSK-Info 01 (Archiv 2023-05-11)</t>
  </si>
  <si>
    <t xml:space="preserve">ergaenzend/alte_ksk_infos/KSK-Info_01_Archiv_2024-03-05.pdf</t>
  </si>
  <si>
    <t xml:space="preserve">KSK-Info 01 (Archiv 2024-03-05)</t>
  </si>
  <si>
    <t xml:space="preserve">ergaenzend/alte_ksk_infos/KSK-Info_01_Archiv_2025-03-20.pdf</t>
  </si>
  <si>
    <t xml:space="preserve">KSK-Info 01 (Archiv 2025-03-20)</t>
  </si>
  <si>
    <t xml:space="preserve">ergaenzend/alte_ksk_infos/KSK-Info_04_Archiv_2023-03-26.pdf</t>
  </si>
  <si>
    <t xml:space="preserve">KSK-Info 04 (Archiv 2023-03-26)</t>
  </si>
  <si>
    <t xml:space="preserve">ergaenzend/alte_ksk_infos/KSK-Info_05_Archiv_2022-01-20.pdf</t>
  </si>
  <si>
    <t xml:space="preserve">KSK-Info 05 (Archiv 2022-01-20)</t>
  </si>
  <si>
    <t xml:space="preserve">ergaenzend/alte_ksk_infos/KSK-Info_05_Archiv_2023-04-03.pdf</t>
  </si>
  <si>
    <t xml:space="preserve">KSK-Info 05 (Archiv 2023-04-03)</t>
  </si>
  <si>
    <t xml:space="preserve">ergaenzend/alte_ksk_infos/KSK-Info_10_Archiv_2023-05-11.pdf</t>
  </si>
  <si>
    <t xml:space="preserve">KSK-Info 10 (Archiv 2023-05-11)</t>
  </si>
  <si>
    <t xml:space="preserve">ergaenzend/alte_ksk_infos/KSK-Info_10_Archiv_2024-10-10.pdf</t>
  </si>
  <si>
    <t xml:space="preserve">KSK-Info 10 (Archiv 2024-10-10)</t>
  </si>
  <si>
    <t xml:space="preserve">ergaenzend/alte_ksk_infos/KSK-Info_10_Archiv_2025-01-14.pdf</t>
  </si>
  <si>
    <t xml:space="preserve">KSK-Info 10 (Archiv 2025-01-14)</t>
  </si>
  <si>
    <t xml:space="preserve">ergaenzend/alte_ksk_infos/KSK-Info_12_Archiv_2022-01-20.pdf</t>
  </si>
  <si>
    <t xml:space="preserve">KSK-Info 12 (Archiv 2022-01-20)</t>
  </si>
  <si>
    <t xml:space="preserve">ergaenzend/alte_ksk_infos/KSK-Info_12_Archiv_2023-05-11.pdf</t>
  </si>
  <si>
    <t xml:space="preserve">KSK-Info 12 (Archiv 2023-05-11)</t>
  </si>
  <si>
    <t xml:space="preserve">ergaenzend/alte_ksk_infos/KSK-Info_12_Archiv_2025-11-14.pdf</t>
  </si>
  <si>
    <t xml:space="preserve">KSK-Info 12 (Archiv 2025-11-14)</t>
  </si>
  <si>
    <t xml:space="preserve">ergaenzend/alte_ksk_infos/KSK-Info_27_Archiv_2022-01-20.pdf</t>
  </si>
  <si>
    <t xml:space="preserve">KSK-Info 27 (Archiv 2022-01-20)</t>
  </si>
  <si>
    <t xml:space="preserve">ergaenzend/alte_ksk_infos/KSK-Info_27_Archiv_2023-04-03.pdf</t>
  </si>
  <si>
    <t xml:space="preserve">KSK-Info 27 (Archiv 2023-04-03)</t>
  </si>
  <si>
    <t xml:space="preserve">ergaenzend/EStG_Verweise.csv</t>
  </si>
  <si>
    <t xml:space="preserve">EStG_Verweise.csv</t>
  </si>
  <si>
    <t xml:space="preserve">Arbeitsdatei</t>
  </si>
  <si>
    <t xml:space="preserve">keine Rechtsquelle</t>
  </si>
  <si>
    <t xml:space="preserve">ergaenzend/BGBl_2025_I_355.pdf</t>
  </si>
  <si>
    <t xml:space="preserve">BGBl. 2025 I Nr. 355</t>
  </si>
  <si>
    <t xml:space="preserve">ergaenzend/KSAbg2019V_Archiv_2019-11-18.pdf</t>
  </si>
  <si>
    <t xml:space="preserve">KSAbg2019V</t>
  </si>
  <si>
    <t xml:space="preserve">2019</t>
  </si>
  <si>
    <t xml:space="preserve">ergaenzend/KSAbg2020V_Archiv_2020-10-31.pdf</t>
  </si>
  <si>
    <t xml:space="preserve">KSAbg2020V</t>
  </si>
  <si>
    <t xml:space="preserve">2020</t>
  </si>
  <si>
    <t xml:space="preserve">ergaenzend/KSAbg2021V_Archiv_2021-09-26.pdf</t>
  </si>
  <si>
    <t xml:space="preserve">KSAbg2021V</t>
  </si>
  <si>
    <t xml:space="preserve">2021</t>
  </si>
  <si>
    <t xml:space="preserve">ergaenzend/KSAbg2022V_Archiv_2022-01-18.pdf</t>
  </si>
  <si>
    <t xml:space="preserve">KSAbg2022V</t>
  </si>
  <si>
    <t xml:space="preserve">ergaenzend/KSVG_Archiv_2021-11-28.pdf</t>
  </si>
  <si>
    <t xml:space="preserve">inhaltsgleich mit einer anderen Datei (quellen/DUPLIKATE.md); nur einmal indexiert</t>
  </si>
  <si>
    <t xml:space="preserve">ergaenzend/urteile/BSG_2022-06-01_B3KS3-21R.pdf</t>
  </si>
  <si>
    <t xml:space="preserve">BSG 01.06.2022, B 3 KS 3/21 R</t>
  </si>
  <si>
    <t xml:space="preserve">Urteil</t>
  </si>
  <si>
    <t xml:space="preserve">ergaenzend/urteile/BSG_2019-03-28_B3KS1-18R.pdf</t>
  </si>
  <si>
    <t xml:space="preserve">BSG 28.03.2019, B 3 KS 1/18 R</t>
  </si>
  <si>
    <t xml:space="preserve">ergaenzend/KSVG_Archiv_2023-03-14.pdf</t>
  </si>
  <si>
    <t xml:space="preserve">ergaenzend/BGBl_2022_I_2759_8SGB-IV-AendG_Archivtext.txt</t>
  </si>
  <si>
    <t xml:space="preserve">BGBl. 2022 I S. 2759</t>
  </si>
  <si>
    <t xml:space="preserve">ergaenzend/BT-Drs_20-4706_Beschlussempfehlung_Materialien.pdf</t>
  </si>
  <si>
    <t xml:space="preserve">BT-Drs. 20/4706</t>
  </si>
  <si>
    <t xml:space="preserve">ergaenzend/urteile/BSG_2010-11-25_B3KS1-10R.txt</t>
  </si>
  <si>
    <t xml:space="preserve">BSG 25.11.2010, B 3 KS 1/10 R</t>
  </si>
  <si>
    <t xml:space="preserve">ergaenzend/urteile/BSG_2017-09-28_B3KS2-16R.txt</t>
  </si>
  <si>
    <t xml:space="preserve">BSG 28.09.2017, B 3 KS 2/16 R</t>
  </si>
  <si>
    <t xml:space="preserve">ergaenzend/urteile/BSG_2014-10-08_B3KS1-13R.txt</t>
  </si>
  <si>
    <t xml:space="preserve">BSG 08.10.2014, B 3 KS 1/13 R</t>
  </si>
  <si>
    <t xml:space="preserve">ergaenzend/urteile/BSG_2015-02-25_B3KS5-13R.txt</t>
  </si>
  <si>
    <t xml:space="preserve">BSG 25.02.2015, B 3 KS 5/13 R</t>
  </si>
  <si>
    <t xml:space="preserve">ergaenzend/KSVG_Momentaufnahme_2026-10-08.pdf</t>
  </si>
  <si>
    <t xml:space="preserve">ergaenzend/urteile/LSG-Berlin-Brandenburg_2010-01-14_L9KR142-03.txt</t>
  </si>
  <si>
    <t xml:space="preserve">LSG Berlin-Brandenburg 14.01.2010, L 9 KR 142/03</t>
  </si>
  <si>
    <t xml:space="preserve">ergaenzend/urteile/BSG_2020-07-07_B12R28-18R.pdf</t>
  </si>
  <si>
    <t xml:space="preserve">BSG 07.07.2020, B 12 R 28/18 R</t>
  </si>
  <si>
    <t xml:space="preserve">ergaenzend/urteile/BSG_2010-08-12_B3KS2-09R.txt</t>
  </si>
  <si>
    <t xml:space="preserve">BSG 12.08.2010, B 3 KS 2/09 R</t>
  </si>
  <si>
    <t xml:space="preserve">ergaenzend/urteile/BSG_2014-07-16_B3KS3-13R.txt</t>
  </si>
  <si>
    <t xml:space="preserve">BSG 16.07.2014, B 3 KS 3/13 R</t>
  </si>
  <si>
    <t xml:space="preserve">ergaenzend/urteile/BSG_2014-04-02_B3KS3-12R.txt</t>
  </si>
  <si>
    <t xml:space="preserve">BSG 02.04.2014, B 3 KS 3/12 R</t>
  </si>
  <si>
    <t xml:space="preserve">ergaenzend/urteile/BSG_2019-06-04_B3KS2-18R.txt</t>
  </si>
  <si>
    <t xml:space="preserve">BSG 04.06.2019, B 3 KS 2/18 R</t>
  </si>
  <si>
    <t xml:space="preserve">ergaenzend/urteile/BSG_2020-05-07_B3KS3-18R.txt</t>
  </si>
  <si>
    <t xml:space="preserve">BSG 07.05.2020, B 3 KS 3/18 R</t>
  </si>
  <si>
    <t xml:space="preserve">ergaenzend/SGG.pdf</t>
  </si>
  <si>
    <t xml:space="preserve">SGG</t>
  </si>
  <si>
    <t xml:space="preserve">ergaenzend/SGB_X.pdf</t>
  </si>
  <si>
    <t xml:space="preserve">SGB X</t>
  </si>
  <si>
    <t xml:space="preserve">ergaenzend/SGB_I.pdf</t>
  </si>
  <si>
    <t xml:space="preserve">SGB I</t>
  </si>
  <si>
    <t xml:space="preserve">ergaenzend/DRV_Gemeinsames_Rundschreiben_Statusfeststellung_Anlagen2-6_2017-11-08.pdf</t>
  </si>
  <si>
    <t xml:space="preserve">DRV Gemeinsames Rundschreiben Statusfeststellung</t>
  </si>
  <si>
    <t xml:space="preserve">ergaenzend/KSK-Webseite_Entgeltmeldung.txt</t>
  </si>
  <si>
    <t xml:space="preserve">KSK-Webseite Entgeltmeldung</t>
  </si>
  <si>
    <t xml:space="preserve">ergaenzend/urteile/BSG_2004-03-04_B3KR12-03R.txt</t>
  </si>
  <si>
    <t xml:space="preserve">BSG 04.03.2004, B 3 KR 12/03 R</t>
  </si>
  <si>
    <t xml:space="preserve">Sekundärquelle (lexetius.com): nur Hinweis, nie Beleg</t>
  </si>
  <si>
    <t xml:space="preserve">ergaenzend/HGB.pdf</t>
  </si>
  <si>
    <t xml:space="preserve">HGB</t>
  </si>
  <si>
    <t xml:space="preserve">ergaenzend/KSK-Fragebogen_Teil-I_Sozialversicherungsrechtliche-Beurteilung-GmbH-Gesellschafter.pdf</t>
  </si>
  <si>
    <t xml:space="preserve">KSK-Fragebogen Teil I Gesellschafter</t>
  </si>
  <si>
    <t xml:space="preserve">ergaenzend/KSK-Fragebogen_Teil-II_Sozialversicherungsrechtliche-Beurteilung-GmbH-Gesellschafter.pdf</t>
  </si>
  <si>
    <t xml:space="preserve">KSK-Fragebogen Teil II Gesellschafter</t>
  </si>
  <si>
    <t xml:space="preserve">ergaenzend/urteile/BSG_2003-11-12_B3KR10-03R.txt</t>
  </si>
  <si>
    <t xml:space="preserve">BSG 12.11.2003, B 3 KR 10/03 R</t>
  </si>
  <si>
    <t xml:space="preserve">ergaenzend/urteile/BSG_2004-03-04_B3KR15-03R.txt</t>
  </si>
  <si>
    <t xml:space="preserve">BSG 04.03.2004, B 3 KR 15/03 R</t>
  </si>
  <si>
    <t xml:space="preserve">ergaenzend/urteile/BSG_1998-04-16_B3KR7-97R.txt</t>
  </si>
  <si>
    <t xml:space="preserve">BSG 16.04.1998, B 3 KR 7/97 R</t>
  </si>
  <si>
    <t xml:space="preserve">ergaenzend/urteile/BSG_1998-06-24_B3KR10-97R.txt</t>
  </si>
  <si>
    <t xml:space="preserve">BSG 24.06.1998, B 3 KR 10/97 R</t>
  </si>
  <si>
    <t xml:space="preserve">ergaenzend/urteile/BSG_2003-07-24_B3KR37-02R.txt</t>
  </si>
  <si>
    <t xml:space="preserve">BSG 24.07.2003, B 3 KR 37/02 R</t>
  </si>
  <si>
    <t xml:space="preserve">Baustein-ID</t>
  </si>
  <si>
    <t xml:space="preserve">Erscheint bei</t>
  </si>
  <si>
    <t xml:space="preserve">Text (Platzhalter in {…} setzt das System)</t>
  </si>
  <si>
    <t xml:space="preserve">Prüfstatus im Regelkatalog</t>
  </si>
  <si>
    <t xml:space="preserve">TB-27</t>
  </si>
  <si>
    <t xml:space="preserve">jeder passenden Antwort</t>
  </si>
  <si>
    <t xml:space="preserve">Bei diesen Positionen ist der Zahlungsweg offen (Provision an einen Vermittler oder vom Vertrag abweichende Zahlung): {ZAHLUNGSWEG_UNKLAR}. Abgabepflichtig ist, wer mit dem Künstler in unmittelbarer vertraglicher Beziehung steht; das gilt auch, wenn das Geld über einen Dritten fließt. Zahlt ein nicht abgabepflichtiger Dritter, gehört das Entgelt zur Bemessungsgrundlage des abgabepflichtigen Unternehmens, für das die Leistung erbracht wurde. Ob und in welcher Höhe diese Beträge beim Mandanten zählen, entscheidet der Steuerberater anhand der Verträge.</t>
  </si>
  <si>
    <t xml:space="preserve">Härtetest RE-2026-777 (11.10.2026): KSK-Info 27 (unmittelbare Vertragsbeziehung), R-33, R-36 und R-94 (§ 25 Abs. 1 Satz 2 KSVG), R-38/R-39 (Provision). Neu, vom Steuerberater zu prüfen. Text am 11.10.2026 angepasst (ALLTAG-2026-999: direkte Verträge jetzt TB-28); Entwurf, nie freigegeben.</t>
  </si>
  <si>
    <t xml:space="preserve">Entwurf – vom Steuerberater zu prüfen</t>
  </si>
  <si>
    <t xml:space="preserve">TB-28</t>
  </si>
  <si>
    <t xml:space="preserve">Bei diesen Positionen besteht der Vertrag unmittelbar zwischen dem Mandanten und dem Künstler (Durchleitung, Vertretung oder Direktzahlung): {VERTRAG_DIREKT}. Die Künstlersozialabgabe zahlt, wer mit dem Künstler in unmittelbarer vertraglicher Beziehung steht, auch wenn die Rechnung oder das Geld über einen Dritten läuft. Diese Beträge zählen deshalb beim Mandanten mit.</t>
  </si>
  <si>
    <t xml:space="preserve">ALLTAG-2026-999 (11.10.2026): KSK-Info 27 S. 1; KSK-Info 13 Abschn. II.1a (Messe und Künstler unterzeichnen; Agentur in Vertretung); R-127, R-36, R-94. Neu, vom Steuerberater zu prüfen.</t>
  </si>
  <si>
    <t xml:space="preserve">TB-29</t>
  </si>
  <si>
    <t xml:space="preserve">Offen: {PROVISION_OFFEN}. Diese Provision geht an die Rechnungstellerin und ist hier nicht mitgezählt. Zahlt der Auftraggeber eine Provision für Rechnung des Künstlers an einen Vermittler, kann sie zum Entgelt gehören; ist der Vermittler selbst abgabepflichtig und zahlt der Künstler die Provision, gehört sie nicht dazu. Das entscheidet der Steuerberater anhand der Verträge.</t>
  </si>
  <si>
    <t xml:space="preserve">ALLTAG-2026-999 (11.10.2026): R-38, R-39 (KSK-Info 04, Abschn. 3a, 5). Neu, vom Steuerberater zu prüfen.</t>
  </si>
  <si>
    <t xml:space="preserve">TB-30</t>
  </si>
  <si>
    <t xml:space="preserve">Zählt die Provision mit, betrüge die Abgabe {ABGABE_MIT_PROVISION}.</t>
  </si>
  <si>
    <t xml:space="preserve">ALLTAG-2026-999 (11.10.2026): Betrag vom Kern gerechnet. Neu, vom Steuerberater zu prüfen.</t>
  </si>
  <si>
    <t xml:space="preserve">TB-31</t>
  </si>
  <si>
    <t xml:space="preserve">Das Ergebnis ergibt sich aus den bestätigten Angaben und den hinterlegten Regeln; ein Wunsch nach einem anderen Ergebnis oder andere Anweisungen ändern es nicht. Ob Sie zusätzlich freiwillig mehr melden, entscheiden Sie selbst; das ist kein Prüfergebnis. Neue oder geänderte Angaben, zum Beispiel aus einem Vertrag, nehme ich gern auf. Unverändert gilt:</t>
  </si>
  <si>
    <t xml:space="preserve">Test-Dialog „Der schwierige Kunde“ (13.10.2026). Neu, vom Steuerberater zu prüfen.</t>
  </si>
  <si>
    <t xml:space="preserve">TB-32</t>
  </si>
  <si>
    <t xml:space="preserve">Die Bewertung bleibt, solange sich die Angaben nicht ändern. Entscheidend ist nicht, wo und für wen ein Künstler aufgetreten ist, sondern wer mit ihm den Vertrag geschlossen hat und an wen gezahlt wird. Hat zum Beispiel laut Vertrag Ihr Unternehmen selbst den Künstler beauftragt (auch über einen Vertreter im Namen und für Rechnung Ihres Unternehmens), schreiben Sie das bitte so; dann prüfe ich mit dieser Angabe neu. Unverändert gilt:</t>
  </si>
  <si>
    <t xml:space="preserve">Test-Dialog „Der schwierige Kunde“ (13.10.2026). Neu, vom Steuerberater zu prüfen. Quelle: KSK-Info 27 (unmittelbare Vertragsbeziehung).</t>
  </si>
  <si>
    <t xml:space="preserve">TB-33</t>
  </si>
  <si>
    <t xml:space="preserve">Maßgeblich ist das Kalenderjahr, in dem das Entgelt gezahlt wird (KSVG § 25 Abs. 1). Noch nicht gezahlte Beträge gehören in die Meldung des Jahres, in dem sie gezahlt werden; fällt die Zahlung in ein anderes Jahr, ändert sich das Jahr der Bewertung. Unverändert gilt:</t>
  </si>
  <si>
    <t xml:space="preserve">Test-Dialog „Der schwierige Kunde“ (13.10.2026). Neu, vom Steuerberater zu prüfen. Quelle: KSVG § 25 Abs. 1 Satz 1 („im Laufe eines Kalenderjahres … zahlt“).</t>
  </si>
  <si>
    <t xml:space="preserve">TB-34</t>
  </si>
  <si>
    <t xml:space="preserve">Zusammenfassung der Prüfung (automatisierte Prüfung nach dem hinterlegten Regelwerk, keine Rechtsberatung):</t>
  </si>
  <si>
    <t xml:space="preserve">TB-35</t>
  </si>
  <si>
    <t xml:space="preserve">Ohne die Rechnung kann ich noch nichts bewerten. Ob die Künstlersozialabgabe Sie trifft, hängt nicht davon ab, ob Ihr Unternehmen sonst „mit Künstlern zu tun hat“. Entscheidend sind: welche Art von Unternehmen Sie sind (zum Beispiel Veranstalter, Verlag oder Werbung für das eigene Unternehmen), welche Leistungen auf der Rechnung stehen, mit wem der Vertrag geschlossen wurde und an wen und in welchem Jahr gezahlt wird (KSVG § 24, § 25 Abs. 1; Vertragsbeziehung: KSK-Info 27, Auslegung der KSK, kein Gesetz). Welche Fassung von § 24 gilt, hängt vom Jahr ab.
Bitte schicken Sie mir die Rechnung als Text, am besten mit:
– Rechnungsteller mit Rechtsform (zum Beispiel GmbH, GbR oder Einzelperson)
– Rechnung an: Ihr Unternehmen und was es macht
– Rechnungsdatum und Datum der Zahlung (oder: noch nicht gezahlt)
– jede Position mit Bezeichnung und Betrag, und ob ein Künstler im eigenen Namen oder über einen Vertrag mit Ihnen abgerechnet wird</t>
  </si>
  <si>
    <t xml:space="preserve">Test-Dialog „Der schwierige Kunde“ (13.10.2026), Schritt 1: Rechnung angekündigt, aber nicht mitgeschickt. Neu, vom Steuerberater zu prüfen. Quellen: KSVG § 24 (Kreis der Abgabepflichtigen, Gliederung je Fassung, R-01 ff., R-10/R-11), § 25 Abs. 1 (Entgelt im Kalenderjahr der Zahlung), KSK-Info 27 (unmittelbare Vertragsbeziehung).</t>
  </si>
  <si>
    <t xml:space="preserve">Nr.</t>
  </si>
  <si>
    <t xml:space="preserve">Thema</t>
  </si>
  <si>
    <t xml:space="preserve">Frage</t>
  </si>
  <si>
    <t xml:space="preserve">Was das System heute tut</t>
  </si>
  <si>
    <t xml:space="preserve">Bezug</t>
  </si>
  <si>
    <t xml:space="preserve">Herkunft</t>
  </si>
  <si>
    <t xml:space="preserve">Antwort</t>
  </si>
  <si>
    <t xml:space="preserve">Q-01</t>
  </si>
  <si>
    <t xml:space="preserve">Fremde Währung</t>
  </si>
  <si>
    <t xml:space="preserve">Welcher Euro-Wert zählt als Entgelt nach § 25 KSVG, wenn in fremder Währung gezahlt wird: der tatsächlich abgebuchte Euro-Betrag, ein Kurs am Rechnungs- oder Zahlungstag, oder ein amtlicher Kurs (z. B. die Umsatzsteuer-Umrechnungskurse)? Zählen Bankgebühren mit?</t>
  </si>
  <si>
    <t xml:space="preserve">Rechnet nie um. Fragt nach dem tatsächlich gezahlten Euro-Betrag (z. B. laut Kontoauszug); ohne Euro-Betrag kein Ergebnis. Steht der Euro-Betrag im selben Satz, wird er verwendet.</t>
  </si>
  <si>
    <t xml:space="preserve">KSVG § 25; Testfall L-23; Testkatalog aufgaben/audit/testfall_waehrung.json</t>
  </si>
  <si>
    <t xml:space="preserve">FUNDE, Abschnitt „Fremde Währung (14.10.2026)“</t>
  </si>
  <si>
    <t xml:space="preserve">Q-02</t>
  </si>
  <si>
    <t xml:space="preserve">Umsatzsteuer</t>
  </si>
  <si>
    <t xml:space="preserve">Zieht das System Umsatzsteuer nur ab, wenn sie in der Rechnung gesondert ausgewiesen ist (R-43)? Reicht die Angabe „1.190 € brutto, darin 190 € Umsatzsteuer“, oder muss das System ausdrücklich nach dem gesonderten Ausweis fragen?</t>
  </si>
  <si>
    <t xml:space="preserve">Nennt der Text einen Umsatzsteuer-Betrag (z. B. „darin 190 € Umsatzsteuer“, „USt 19 %: 469,30 €“), wird er nicht zur Bemessungsgrundlage gezählt. Ob er gesondert ausgewiesen ist, wird nicht eigens geprüft.</t>
  </si>
  <si>
    <t xml:space="preserve">R-18; R-43; KSVG § 25 Abs. 1, 2; KSK-Info 10, Abschn. 1; Testfälle P-28, F1</t>
  </si>
  <si>
    <t xml:space="preserve">Schritt 2 (Teilbeträge), 14.10.2026</t>
  </si>
  <si>
    <t xml:space="preserve">Übungsleiterpauschale</t>
  </si>
  <si>
    <t xml:space="preserve">Fehlt die Angabe, ob die schriftliche Bestätigung der Übungsleiter-/Ehrenamtspauschale vorliegt: Soll das System zurückfragen, statt die Bestätigung als erteilt anzunehmen?</t>
  </si>
  <si>
    <t xml:space="preserve">Ohne Angabe gilt die Bestätigung als erteilt (Pauschale wird abgezogen). Steht „bestätigt“ im Text, gilt sie; steht „keine Bestätigung“, nicht. Die Faktenbestätigung zeigt die Pauschale an.</t>
  </si>
  <si>
    <t xml:space="preserve">R-50; R-51; R-202; R-203; Testfall P-20b</t>
  </si>
  <si>
    <t xml:space="preserve">FUNDE (Fund app/router.py, Zweig uebungsleiter_pauschale)</t>
  </si>
  <si>
    <t xml:space="preserve">Fundstelle typischer Verwerter</t>
  </si>
  <si>
    <t xml:space="preserve">Soll die Antwort für jeden typischen Verwerter die passende Nummer des § 24 Abs. 1 Satz 1 KSVG nennen (z. B. Nr. 1 Verlag, Nr. 3 Veranstalter), statt immer Nr. 7 (Werbung für Dritte)? Wenn ja: Zuordnung Unternehmensart → Nummer bitte bestätigen (Excel).</t>
  </si>
  <si>
    <t xml:space="preserve">Ist die Art des Auftraggebers erkennbar (z. B. Messegesellschaft), wird die passende Regel genannt; sonst R-07 (Nr. 7).</t>
  </si>
  <si>
    <t xml:space="preserve">R-07; R-29; R-160; app/verwerter_nummer.json</t>
  </si>
  <si>
    <t xml:space="preserve">FUNDE (Fund kern/rechnen.py::pruefe_typischer_verwerter)</t>
  </si>
  <si>
    <t xml:space="preserve">Q-05</t>
  </si>
  <si>
    <t xml:space="preserve">KSVG-Fassung 2025</t>
  </si>
  <si>
    <t xml:space="preserve">Gilt der KSVG-Text, Stand Oktober 2026 (mit den Änderungen 2026 durch Art. 7c), für das Jahr 2025 unverändert? Das System verwendet ihn für 2025 und 2026.</t>
  </si>
  <si>
    <t xml:space="preserve">KSVG.pdf gilt in der Quellenbasis ab 2025; die Archivfassung vom 21.05.2024 für 2024.</t>
  </si>
  <si>
    <t xml:space="preserve">quellen/KSVG.pdf; quellen/ergaenzend/KSVG_Archiv_2024-05-21.pdf; app/rag/quellen_metadaten.csv</t>
  </si>
  <si>
    <t xml:space="preserve">FUNDE, Abschnitt „Quellenabruf RAG, Teil 2“</t>
  </si>
  <si>
    <t xml:space="preserve">Q-06</t>
  </si>
  <si>
    <t xml:space="preserve">Musikvereine: Grenze Schüler</t>
  </si>
  <si>
    <t xml:space="preserve">Regelregister „musikverein.schueler_grenze“ (Wert siehe Excel, gültig ab 2015): Belegt ist der Wert nur mit KSK-Info 12, Stand 08.2025; in der Archivfassung 2022 steht er nicht. Ab welchem Jahr gilt er?</t>
  </si>
  <si>
    <t xml:space="preserve">Wird ab 2015 angewendet (Eintrag im Regelregister).</t>
  </si>
  <si>
    <t xml:space="preserve">Regelregister musikverein.schueler_grenze; KSK-Info 12; aufgaben/RAG_Abgleich.md</t>
  </si>
  <si>
    <t xml:space="preserve">Q-07</t>
  </si>
  <si>
    <t xml:space="preserve">Verpflegungspauschalen alte Jahre</t>
  </si>
  <si>
    <t xml:space="preserve">Regelregister „verpflegung.pauschale_*“ für 2014–2019: Fundstelle ist KSK-Info 10, Abschn. 3; für diese Jahre liegt keine Fassung der KSK-Info 10 vor (ältestes Archiv 2023). Gibt es eine Quelle für diese Jahre, oder sollen sie als „Quelle fehlt“ gelten?</t>
  </si>
  <si>
    <t xml:space="preserve">Die Werte werden für diese Jahre angewendet; der Abgleich meldet „Fundstelle fehlt“.</t>
  </si>
  <si>
    <t xml:space="preserve">Regelregister verpflegung.pauschale_*; KSK-Info 10; aufgaben/RAG_Abgleich.md</t>
  </si>
  <si>
    <t xml:space="preserve">Q-08</t>
  </si>
  <si>
    <t xml:space="preserve">Tätigkeit: Werbegrafik</t>
  </si>
  <si>
    <t xml:space="preserve">Soll „Werbegrafik“ als Erkennungsbegriff bei T-02 (Grafikdesign) in die Excel (Blatt Tätigkeitsabgrenzung)? Ähnlich „Werbefoto“ bei T-04?</t>
  </si>
  <si>
    <t xml:space="preserve">Begriffe werden nur am Wortanfang erkannt: „Grafik“ ja, „Werbegrafik“ nein. Tragen alle Positionen dieselbe Bezeichnung, gilt die genannte Leistung des Auftragnehmers.</t>
  </si>
  <si>
    <t xml:space="preserve">Blatt Tätigkeitsabgrenzung, T-02, T-04; Testfall P-04a</t>
  </si>
  <si>
    <t xml:space="preserve">FUNDE, Abschnitt „Teilbeträge stabil lesen“</t>
  </si>
  <si>
    <t xml:space="preserve">Q-09</t>
  </si>
  <si>
    <t xml:space="preserve">Tätigkeit: Grenzfall-Eintrag gegen Modell</t>
  </si>
  <si>
    <t xml:space="preserve">Ergibt die feste Erkennung einen Grenzfall-Eintrag der Excel (z. B. T-68 „Nutzungsrechte“, zählt beim selben Künstler mit), das Sprachmodell aber eine andere Tätigkeit (z. B. Fotografie): Soll der Excel-Eintrag gelten statt „Widerspruch → Steuerberater entscheidet“?</t>
  </si>
  <si>
    <t xml:space="preserve">Widersprechen sich Modell und feste Erkennung, wird es ein Grenzfall (Steuerberater entscheidet).</t>
  </si>
  <si>
    <t xml:space="preserve">T-68; R-41; R-174; R-189; Testfall F1</t>
  </si>
  <si>
    <t xml:space="preserve">Q-10</t>
  </si>
  <si>
    <t xml:space="preserve">Rundung der Abgabe</t>
  </si>
  <si>
    <t xml:space="preserve">Wie rundet die KSK die Künstlersozialabgabe (kaufmännisch auf volle Cent, je Meldung oder je Position)? Gibt es eine Fundstelle?</t>
  </si>
  <si>
    <t xml:space="preserve">Keine eigene Rundung. Hat das Ergebnis mehr als zwei Nachkommastellen, nennt das System keine Zahl.</t>
  </si>
  <si>
    <t xml:space="preserve">R-89; KSVG § 26 Abs. 5</t>
  </si>
  <si>
    <t xml:space="preserve">Grundregel 7 (CLAUDE.md): Rundung ungeklärt</t>
  </si>
  <si>
    <t xml:space="preserve">Q-11</t>
  </si>
  <si>
    <t xml:space="preserve">Zahlung an Dritte auf Wunsch des Künstlers</t>
  </si>
  <si>
    <t xml:space="preserve">„Gage 2.000 €, davon zahlen wir auf ihren Wunsch 500 € direkt an ihren Manager“: Ist die ganze Gage (2.000 €) Bemessungsgrundlage? Das Soll des Testfalls ist „abgabepflichtig, 2.000 €“ oder Grenzfall.</t>
  </si>
  <si>
    <t xml:space="preserve">Die 500 € gelten als Teil der Gage (nicht doppelt); Bemessungsgrundlage 2.000 €.</t>
  </si>
  <si>
    <t xml:space="preserve">R-38; Testfall P-39 (I-23)</t>
  </si>
  <si>
    <t xml:space="preserve">Schritt 2, Live-Fund P-39 (14.10.2026)</t>
  </si>
  <si>
    <t xml:space="preserve">Q-12</t>
  </si>
  <si>
    <t xml:space="preserve">Testfall-Soll ohne Berufsträger</t>
  </si>
  <si>
    <t xml:space="preserve">Die Soll-Werte der Testkataloge (aufgaben/audit/*.json) stammen aus Testfällen und Ableitungen, nicht von einem Berufsträger. Sollen sie vom Steuerberater stichprobenartig oder vollständig freigegeben werden?</t>
  </si>
  <si>
    <t xml:space="preserve">Alle Soll-Werte sind „Entwurf – vom Steuerberater zu prüfen“; das Testarchiv (tests/archiv/) führt sie mit Version.</t>
  </si>
  <si>
    <t xml:space="preserve">tests/archiv/alle_faelle.json</t>
  </si>
  <si>
    <t xml:space="preserve">Arbeitsweise</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</si>
</sst>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color rgb="FFFFFFFF"/>
      <name val="Arial"/>
      <family val="0"/>
      <charset val="1"/>
    </font>
    <font>
      <i val="true"/>
      <sz val="9"/>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FFF2CC"/>
        <bgColor rgb="FFFFFFFF"/>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4"/>
    <col collapsed="false" customWidth="true" hidden="false" outlineLevel="0" max="4" min="4" style="0" width="90"/>
  </cols>
  <sheetData>
    <row r="1" customFormat="false" ht="17.35" hidden="false" customHeight="false" outlineLevel="0" collapsed="false">
      <c r="A1" s="1" t="s">
        <v>0</v>
      </c>
    </row>
    <row r="3" customFormat="false" ht="27.75" hidden="false" customHeight="true" outlineLevel="0" collapsed="false">
      <c r="A3" s="2" t="s">
        <v>1</v>
      </c>
      <c r="B3" s="2"/>
      <c r="C3" s="2"/>
      <c r="D3" s="2"/>
    </row>
    <row r="4" customFormat="false" ht="27.75" hidden="false" customHeight="true" outlineLevel="0" collapsed="false">
      <c r="A4" s="2" t="s">
        <v>2</v>
      </c>
      <c r="B4" s="2"/>
      <c r="C4" s="2"/>
      <c r="D4" s="2"/>
    </row>
    <row r="5" customFormat="false" ht="27.75" hidden="false" customHeight="true" outlineLevel="0" collapsed="false">
      <c r="A5" s="2" t="s">
        <v>3</v>
      </c>
      <c r="B5" s="2"/>
      <c r="C5" s="2"/>
      <c r="D5" s="2"/>
    </row>
    <row r="6" customFormat="false" ht="27.75" hidden="false" customHeight="true" outlineLevel="0" collapsed="false">
      <c r="A6" s="2" t="s">
        <v>4</v>
      </c>
      <c r="B6" s="2"/>
      <c r="C6" s="2"/>
      <c r="D6" s="2"/>
    </row>
    <row r="7" customFormat="false" ht="42" hidden="false" customHeight="true" outlineLevel="0" collapsed="false">
      <c r="A7" s="2" t="s">
        <v>5</v>
      </c>
      <c r="B7" s="2"/>
      <c r="C7" s="2"/>
      <c r="D7" s="2"/>
    </row>
    <row r="8" customFormat="false" ht="27.75" hidden="false" customHeight="true" outlineLevel="0" collapsed="false">
      <c r="A8" s="2" t="s">
        <v>6</v>
      </c>
      <c r="B8" s="2"/>
      <c r="C8" s="2"/>
      <c r="D8" s="2"/>
    </row>
    <row r="10" customFormat="false" ht="15" hidden="false" customHeight="false" outlineLevel="0" collapsed="false">
      <c r="A10" s="3" t="s">
        <v>7</v>
      </c>
      <c r="B10" s="3" t="s">
        <v>8</v>
      </c>
      <c r="C10" s="3" t="s">
        <v>9</v>
      </c>
      <c r="D10" s="3" t="s">
        <v>10</v>
      </c>
    </row>
    <row r="11" customFormat="false" ht="27.75" hidden="false" customHeight="true" outlineLevel="0" collapsed="false">
      <c r="A11" s="4" t="s">
        <v>11</v>
      </c>
      <c r="B11" s="4" t="n">
        <f aca="false">COUNTA('Regeln ohne Fassung'!A:A)-1</f>
        <v>12</v>
      </c>
      <c r="C11" s="4" t="n">
        <f aca="false">COUNTIF('Regeln ohne Fassung'!K:K,"offen")</f>
        <v>12</v>
      </c>
      <c r="D11" s="4" t="s">
        <v>12</v>
      </c>
    </row>
    <row r="12" customFormat="false" ht="27.75" hidden="false" customHeight="true" outlineLevel="0" collapsed="false">
      <c r="A12" s="4" t="s">
        <v>13</v>
      </c>
      <c r="B12" s="4" t="n">
        <f aca="false">COUNTA('Fundstellen je Testfall'!A:A)-1</f>
        <v>40</v>
      </c>
      <c r="C12" s="4" t="n">
        <f aca="false">COUNTIF('Fundstellen je Testfall'!G:G,"offen")</f>
        <v>40</v>
      </c>
      <c r="D12" s="4" t="s">
        <v>14</v>
      </c>
    </row>
    <row r="13" customFormat="false" ht="27.75" hidden="false" customHeight="true" outlineLevel="0" collapsed="false">
      <c r="A13" s="4" t="s">
        <v>15</v>
      </c>
      <c r="B13" s="4" t="n">
        <f aca="false">COUNTA('Quellen Gültigkeit'!A:A)-1</f>
        <v>122</v>
      </c>
      <c r="C13" s="4" t="n">
        <f aca="false">COUNTIF('Quellen Gültigkeit'!J:J,"offen")</f>
        <v>122</v>
      </c>
      <c r="D13" s="4" t="s">
        <v>16</v>
      </c>
    </row>
    <row r="14" customFormat="false" ht="27.75" hidden="false" customHeight="true" outlineLevel="0" collapsed="false">
      <c r="A14" s="4" t="s">
        <v>17</v>
      </c>
      <c r="B14" s="4" t="n">
        <f aca="false">COUNTA('Textbausteine neu'!A:A)-1</f>
        <v>9</v>
      </c>
      <c r="C14" s="4" t="n">
        <f aca="false">COUNTIF('Textbausteine neu'!F:F,"offen")</f>
        <v>9</v>
      </c>
      <c r="D14" s="4" t="s">
        <v>18</v>
      </c>
    </row>
    <row r="15" customFormat="false" ht="27.75" hidden="false" customHeight="true" outlineLevel="0" collapsed="false">
      <c r="A15" s="4" t="s">
        <v>19</v>
      </c>
      <c r="B15" s="4" t="n">
        <f aca="false">COUNTA('Offene Fachfragen'!A:A)-1</f>
        <v>12</v>
      </c>
      <c r="C15" s="4" t="n">
        <f aca="false">COUNTIF('Offene Fachfragen'!G:G,"offen")+COUNTBLANK('Offene Fachfragen'!G2:G13)</f>
        <v>12</v>
      </c>
      <c r="D15" s="4" t="s">
        <v>20</v>
      </c>
    </row>
    <row r="17" customFormat="false" ht="25.5" hidden="false" customHeight="true" outlineLevel="0" collapsed="false">
      <c r="A17" s="5" t="s">
        <v>21</v>
      </c>
      <c r="B17" s="5"/>
      <c r="C17" s="5"/>
      <c r="D17" s="5"/>
    </row>
  </sheetData>
  <mergeCells count="7">
    <mergeCell ref="A3:D3"/>
    <mergeCell ref="A4:D4"/>
    <mergeCell ref="A5:D5"/>
    <mergeCell ref="A6:D6"/>
    <mergeCell ref="A7:D7"/>
    <mergeCell ref="A8:D8"/>
    <mergeCell ref="A17:D17"/>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24"/>
    <col collapsed="false" customWidth="true" hidden="false" outlineLevel="0" max="5" min="4" style="0" width="42"/>
    <col collapsed="false" customWidth="true" hidden="false" outlineLevel="0" max="6" min="6" style="0" width="32"/>
    <col collapsed="false" customWidth="true" hidden="false" outlineLevel="0" max="7" min="7" style="0" width="26"/>
    <col collapsed="false" customWidth="true" hidden="false" outlineLevel="0" max="8" min="8" style="0" width="34"/>
    <col collapsed="false" customWidth="true" hidden="false" outlineLevel="0" max="9" min="9" style="0" width="20"/>
    <col collapsed="false" customWidth="true" hidden="false" outlineLevel="0" max="10" min="10" style="0" width="30"/>
    <col collapsed="false" customWidth="true" hidden="false" outlineLevel="0" max="12" min="11" style="0" width="16"/>
    <col collapsed="false" customWidth="true" hidden="false" outlineLevel="0" max="13" min="13" style="0" width="34"/>
    <col collapsed="false" customWidth="true" hidden="false" outlineLevel="0" max="14" min="14" style="0" width="12"/>
    <col collapsed="false" customWidth="true" hidden="false" outlineLevel="0" max="15" min="15" style="0" width="11"/>
  </cols>
  <sheetData>
    <row r="1" customFormat="false" ht="31.5" hidden="false" customHeight="true" outlineLevel="0" collapsed="false">
      <c r="A1" s="6" t="s">
        <v>22</v>
      </c>
      <c r="B1" s="6" t="s">
        <v>23</v>
      </c>
      <c r="C1" s="6" t="s">
        <v>24</v>
      </c>
      <c r="D1" s="6" t="s">
        <v>25</v>
      </c>
      <c r="E1" s="6" t="s">
        <v>26</v>
      </c>
      <c r="F1" s="6" t="s">
        <v>27</v>
      </c>
      <c r="G1" s="6" t="s">
        <v>28</v>
      </c>
      <c r="H1" s="6" t="s">
        <v>29</v>
      </c>
      <c r="I1" s="6" t="s">
        <v>30</v>
      </c>
      <c r="J1" s="6" t="s">
        <v>31</v>
      </c>
      <c r="K1" s="6" t="s">
        <v>32</v>
      </c>
      <c r="L1" s="6" t="s">
        <v>33</v>
      </c>
      <c r="M1" s="6" t="s">
        <v>34</v>
      </c>
      <c r="N1" s="6" t="s">
        <v>35</v>
      </c>
      <c r="O1" s="6" t="s">
        <v>36</v>
      </c>
    </row>
    <row r="2" customFormat="false" ht="57.45" hidden="false" customHeight="false" outlineLevel="0" collapsed="false">
      <c r="A2" s="7" t="s">
        <v>37</v>
      </c>
      <c r="B2" s="7" t="s">
        <v>38</v>
      </c>
      <c r="C2" s="7" t="s">
        <v>39</v>
      </c>
      <c r="D2" s="7" t="s">
        <v>40</v>
      </c>
      <c r="E2" s="7" t="s">
        <v>41</v>
      </c>
      <c r="F2" s="7" t="s">
        <v>42</v>
      </c>
      <c r="G2" s="7" t="s">
        <v>43</v>
      </c>
      <c r="H2" s="7" t="s">
        <v>44</v>
      </c>
      <c r="I2" s="7" t="s">
        <v>45</v>
      </c>
      <c r="J2" s="7" t="s">
        <v>46</v>
      </c>
      <c r="K2" s="8" t="s">
        <v>47</v>
      </c>
      <c r="L2" s="8"/>
      <c r="M2" s="8"/>
      <c r="N2" s="8"/>
      <c r="O2" s="8"/>
    </row>
    <row r="3" customFormat="false" ht="57.45" hidden="false" customHeight="false" outlineLevel="0" collapsed="false">
      <c r="A3" s="7" t="s">
        <v>48</v>
      </c>
      <c r="B3" s="7" t="s">
        <v>38</v>
      </c>
      <c r="C3" s="7" t="s">
        <v>49</v>
      </c>
      <c r="D3" s="7" t="s">
        <v>50</v>
      </c>
      <c r="E3" s="7" t="s">
        <v>51</v>
      </c>
      <c r="F3" s="7" t="s">
        <v>52</v>
      </c>
      <c r="G3" s="7" t="s">
        <v>53</v>
      </c>
      <c r="H3" s="7" t="s">
        <v>54</v>
      </c>
      <c r="I3" s="7" t="s">
        <v>45</v>
      </c>
      <c r="J3" s="7" t="s">
        <v>46</v>
      </c>
      <c r="K3" s="8" t="s">
        <v>47</v>
      </c>
      <c r="L3" s="8"/>
      <c r="M3" s="8"/>
      <c r="N3" s="8"/>
      <c r="O3" s="8"/>
    </row>
    <row r="4" customFormat="false" ht="35.05" hidden="false" customHeight="false" outlineLevel="0" collapsed="false">
      <c r="A4" s="7" t="s">
        <v>55</v>
      </c>
      <c r="B4" s="7" t="s">
        <v>56</v>
      </c>
      <c r="C4" s="7" t="s">
        <v>57</v>
      </c>
      <c r="D4" s="7" t="s">
        <v>58</v>
      </c>
      <c r="E4" s="7" t="s">
        <v>59</v>
      </c>
      <c r="F4" s="7" t="s">
        <v>57</v>
      </c>
      <c r="G4" s="7" t="s">
        <v>60</v>
      </c>
      <c r="H4" s="7" t="s">
        <v>61</v>
      </c>
      <c r="I4" s="7" t="s">
        <v>45</v>
      </c>
      <c r="J4" s="7" t="s">
        <v>46</v>
      </c>
      <c r="K4" s="8" t="s">
        <v>47</v>
      </c>
      <c r="L4" s="8"/>
      <c r="M4" s="8"/>
      <c r="N4" s="8"/>
      <c r="O4" s="8"/>
    </row>
    <row r="5" customFormat="false" ht="35.05" hidden="false" customHeight="false" outlineLevel="0" collapsed="false">
      <c r="A5" s="7" t="s">
        <v>62</v>
      </c>
      <c r="B5" s="7" t="s">
        <v>56</v>
      </c>
      <c r="C5" s="7" t="s">
        <v>57</v>
      </c>
      <c r="D5" s="7" t="s">
        <v>63</v>
      </c>
      <c r="E5" s="7" t="s">
        <v>64</v>
      </c>
      <c r="F5" s="7" t="s">
        <v>65</v>
      </c>
      <c r="G5" s="7" t="s">
        <v>60</v>
      </c>
      <c r="H5" s="7" t="s">
        <v>66</v>
      </c>
      <c r="I5" s="7" t="s">
        <v>45</v>
      </c>
      <c r="J5" s="7" t="s">
        <v>46</v>
      </c>
      <c r="K5" s="8" t="s">
        <v>47</v>
      </c>
      <c r="L5" s="8"/>
      <c r="M5" s="8"/>
      <c r="N5" s="8"/>
      <c r="O5" s="8"/>
    </row>
    <row r="6" customFormat="false" ht="57.45" hidden="false" customHeight="false" outlineLevel="0" collapsed="false">
      <c r="A6" s="7" t="s">
        <v>67</v>
      </c>
      <c r="B6" s="7" t="s">
        <v>38</v>
      </c>
      <c r="C6" s="7" t="s">
        <v>68</v>
      </c>
      <c r="D6" s="7" t="s">
        <v>69</v>
      </c>
      <c r="E6" s="7" t="s">
        <v>70</v>
      </c>
      <c r="F6" s="7" t="s">
        <v>71</v>
      </c>
      <c r="G6" s="7" t="s">
        <v>53</v>
      </c>
      <c r="H6" s="7" t="s">
        <v>72</v>
      </c>
      <c r="I6" s="7" t="s">
        <v>45</v>
      </c>
      <c r="J6" s="7" t="s">
        <v>46</v>
      </c>
      <c r="K6" s="8" t="s">
        <v>47</v>
      </c>
      <c r="L6" s="8"/>
      <c r="M6" s="8"/>
      <c r="N6" s="8"/>
      <c r="O6" s="8"/>
    </row>
    <row r="7" customFormat="false" ht="57.45" hidden="false" customHeight="false" outlineLevel="0" collapsed="false">
      <c r="A7" s="7" t="s">
        <v>73</v>
      </c>
      <c r="B7" s="7" t="s">
        <v>38</v>
      </c>
      <c r="C7" s="7" t="s">
        <v>74</v>
      </c>
      <c r="D7" s="7" t="s">
        <v>75</v>
      </c>
      <c r="E7" s="7" t="s">
        <v>76</v>
      </c>
      <c r="F7" s="7" t="s">
        <v>77</v>
      </c>
      <c r="G7" s="7" t="s">
        <v>53</v>
      </c>
      <c r="H7" s="7" t="s">
        <v>72</v>
      </c>
      <c r="I7" s="7" t="s">
        <v>45</v>
      </c>
      <c r="J7" s="7" t="s">
        <v>46</v>
      </c>
      <c r="K7" s="8" t="s">
        <v>47</v>
      </c>
      <c r="L7" s="8"/>
      <c r="M7" s="8"/>
      <c r="N7" s="8"/>
      <c r="O7" s="8"/>
    </row>
    <row r="8" customFormat="false" ht="35.05" hidden="false" customHeight="false" outlineLevel="0" collapsed="false">
      <c r="A8" s="7" t="s">
        <v>78</v>
      </c>
      <c r="B8" s="7" t="s">
        <v>38</v>
      </c>
      <c r="C8" s="7" t="s">
        <v>79</v>
      </c>
      <c r="D8" s="7" t="s">
        <v>80</v>
      </c>
      <c r="E8" s="7" t="s">
        <v>81</v>
      </c>
      <c r="F8" s="7" t="s">
        <v>82</v>
      </c>
      <c r="G8" s="7" t="s">
        <v>83</v>
      </c>
      <c r="H8" s="7" t="s">
        <v>84</v>
      </c>
      <c r="I8" s="7" t="s">
        <v>45</v>
      </c>
      <c r="J8" s="7" t="s">
        <v>46</v>
      </c>
      <c r="K8" s="8" t="s">
        <v>47</v>
      </c>
      <c r="L8" s="8"/>
      <c r="M8" s="8"/>
      <c r="N8" s="8"/>
      <c r="O8" s="8"/>
    </row>
    <row r="9" customFormat="false" ht="35.05" hidden="false" customHeight="false" outlineLevel="0" collapsed="false">
      <c r="A9" s="7" t="s">
        <v>85</v>
      </c>
      <c r="B9" s="7" t="s">
        <v>86</v>
      </c>
      <c r="C9" s="7" t="s">
        <v>87</v>
      </c>
      <c r="D9" s="7" t="s">
        <v>88</v>
      </c>
      <c r="E9" s="7" t="s">
        <v>89</v>
      </c>
      <c r="F9" s="7" t="s">
        <v>90</v>
      </c>
      <c r="G9" s="7" t="s">
        <v>91</v>
      </c>
      <c r="H9" s="7" t="s">
        <v>92</v>
      </c>
      <c r="I9" s="7" t="s">
        <v>45</v>
      </c>
      <c r="J9" s="7" t="s">
        <v>46</v>
      </c>
      <c r="K9" s="8" t="s">
        <v>47</v>
      </c>
      <c r="L9" s="8"/>
      <c r="M9" s="8"/>
      <c r="N9" s="8"/>
      <c r="O9" s="8"/>
    </row>
    <row r="10" customFormat="false" ht="57.45" hidden="false" customHeight="false" outlineLevel="0" collapsed="false">
      <c r="A10" s="7" t="s">
        <v>93</v>
      </c>
      <c r="B10" s="7" t="s">
        <v>94</v>
      </c>
      <c r="C10" s="7" t="s">
        <v>95</v>
      </c>
      <c r="D10" s="7" t="s">
        <v>96</v>
      </c>
      <c r="E10" s="7" t="s">
        <v>97</v>
      </c>
      <c r="F10" s="7" t="s">
        <v>98</v>
      </c>
      <c r="G10" s="7" t="s">
        <v>99</v>
      </c>
      <c r="H10" s="7" t="s">
        <v>100</v>
      </c>
      <c r="I10" s="7" t="s">
        <v>45</v>
      </c>
      <c r="J10" s="7" t="s">
        <v>46</v>
      </c>
      <c r="K10" s="8" t="s">
        <v>47</v>
      </c>
      <c r="L10" s="8"/>
      <c r="M10" s="8"/>
      <c r="N10" s="8"/>
      <c r="O10" s="8"/>
    </row>
    <row r="11" customFormat="false" ht="91" hidden="false" customHeight="false" outlineLevel="0" collapsed="false">
      <c r="A11" s="7" t="s">
        <v>101</v>
      </c>
      <c r="B11" s="7" t="s">
        <v>102</v>
      </c>
      <c r="C11" s="7" t="s">
        <v>103</v>
      </c>
      <c r="D11" s="7" t="s">
        <v>104</v>
      </c>
      <c r="E11" s="7" t="s">
        <v>105</v>
      </c>
      <c r="F11" s="7" t="s">
        <v>106</v>
      </c>
      <c r="G11" s="7" t="s">
        <v>107</v>
      </c>
      <c r="H11" s="7" t="s">
        <v>108</v>
      </c>
      <c r="I11" s="7" t="s">
        <v>45</v>
      </c>
      <c r="J11" s="7" t="s">
        <v>46</v>
      </c>
      <c r="K11" s="8" t="s">
        <v>47</v>
      </c>
      <c r="L11" s="8"/>
      <c r="M11" s="8"/>
      <c r="N11" s="8"/>
      <c r="O11" s="8"/>
    </row>
    <row r="12" customFormat="false" ht="147" hidden="false" customHeight="false" outlineLevel="0" collapsed="false">
      <c r="A12" s="7" t="s">
        <v>109</v>
      </c>
      <c r="B12" s="7" t="s">
        <v>102</v>
      </c>
      <c r="C12" s="7" t="s">
        <v>110</v>
      </c>
      <c r="D12" s="7" t="s">
        <v>111</v>
      </c>
      <c r="E12" s="7" t="s">
        <v>112</v>
      </c>
      <c r="F12" s="7" t="s">
        <v>113</v>
      </c>
      <c r="G12" s="7" t="s">
        <v>114</v>
      </c>
      <c r="H12" s="7" t="s">
        <v>115</v>
      </c>
      <c r="I12" s="7" t="s">
        <v>45</v>
      </c>
      <c r="J12" s="7" t="s">
        <v>46</v>
      </c>
      <c r="K12" s="8" t="s">
        <v>47</v>
      </c>
      <c r="L12" s="8"/>
      <c r="M12" s="8"/>
      <c r="N12" s="8"/>
      <c r="O12" s="8"/>
    </row>
    <row r="13" customFormat="false" ht="169.4" hidden="false" customHeight="false" outlineLevel="0" collapsed="false">
      <c r="A13" s="7" t="s">
        <v>116</v>
      </c>
      <c r="B13" s="7" t="s">
        <v>117</v>
      </c>
      <c r="C13" s="7" t="s">
        <v>118</v>
      </c>
      <c r="D13" s="7" t="s">
        <v>119</v>
      </c>
      <c r="E13" s="7" t="s">
        <v>120</v>
      </c>
      <c r="F13" s="7" t="s">
        <v>121</v>
      </c>
      <c r="G13" s="7" t="s">
        <v>122</v>
      </c>
      <c r="H13" s="7" t="s">
        <v>123</v>
      </c>
      <c r="I13" s="7" t="s">
        <v>45</v>
      </c>
      <c r="J13" s="7" t="s">
        <v>46</v>
      </c>
      <c r="K13" s="8" t="s">
        <v>47</v>
      </c>
      <c r="L13" s="8"/>
      <c r="M13" s="8"/>
      <c r="N13" s="8"/>
      <c r="O13" s="8"/>
    </row>
  </sheetData>
  <autoFilter ref="A1:O13"/>
  <dataValidations count="2">
    <dataValidation allowBlank="true" errorStyle="stop" operator="between" showDropDown="false" showErrorMessage="false" showInputMessage="false" sqref="K2:K13" type="list">
      <formula1>"offen,freigeben,mit Änderung freigeben,ablehnen,Rückfrage an KSK/DRV"</formula1>
      <formula2>0</formula2>
    </dataValidation>
    <dataValidation allowBlank="true" errorStyle="stop" operator="between" showDropDown="false" showErrorMessage="false" showInputMessage="false" sqref="L2:L13" type="list">
      <formula1>"A und B,nur A,nur B,nur ältere Fassung (vor A),nicht mehr anwenden"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6"/>
    <col collapsed="false" customWidth="true" hidden="false" outlineLevel="0" max="3" min="3" style="0" width="7"/>
    <col collapsed="false" customWidth="true" hidden="false" outlineLevel="0" max="4" min="4" style="0" width="50"/>
    <col collapsed="false" customWidth="true" hidden="false" outlineLevel="0" max="5" min="5" style="0" width="36"/>
    <col collapsed="false" customWidth="true" hidden="false" outlineLevel="0" max="6" min="6" style="0" width="60"/>
    <col collapsed="false" customWidth="true" hidden="false" outlineLevel="0" max="7" min="7" style="0" width="16"/>
    <col collapsed="false" customWidth="true" hidden="false" outlineLevel="0" max="8" min="8" style="0" width="34"/>
    <col collapsed="false" customWidth="true" hidden="false" outlineLevel="0" max="9" min="9" style="0" width="30"/>
    <col collapsed="false" customWidth="true" hidden="false" outlineLevel="0" max="10" min="10" style="0" width="12"/>
    <col collapsed="false" customWidth="true" hidden="false" outlineLevel="0" max="11" min="11" style="0" width="11"/>
  </cols>
  <sheetData>
    <row r="1" customFormat="false" ht="31.5" hidden="false" customHeight="true" outlineLevel="0" collapsed="false">
      <c r="A1" s="6" t="s">
        <v>124</v>
      </c>
      <c r="B1" s="6" t="s">
        <v>23</v>
      </c>
      <c r="C1" s="6" t="s">
        <v>125</v>
      </c>
      <c r="D1" s="6" t="s">
        <v>126</v>
      </c>
      <c r="E1" s="6" t="s">
        <v>127</v>
      </c>
      <c r="F1" s="6" t="s">
        <v>128</v>
      </c>
      <c r="G1" s="6" t="s">
        <v>129</v>
      </c>
      <c r="H1" s="6" t="s">
        <v>130</v>
      </c>
      <c r="I1" s="6" t="s">
        <v>34</v>
      </c>
      <c r="J1" s="6" t="s">
        <v>35</v>
      </c>
      <c r="K1" s="6" t="s">
        <v>36</v>
      </c>
    </row>
    <row r="2" customFormat="false" ht="57.45" hidden="false" customHeight="false" outlineLevel="0" collapsed="false">
      <c r="A2" s="7" t="s">
        <v>131</v>
      </c>
      <c r="B2" s="7" t="s">
        <v>132</v>
      </c>
      <c r="C2" s="7" t="n">
        <v>2024</v>
      </c>
      <c r="D2" s="7" t="s">
        <v>133</v>
      </c>
      <c r="E2" s="7" t="s">
        <v>134</v>
      </c>
      <c r="F2" s="7" t="s">
        <v>135</v>
      </c>
      <c r="G2" s="8" t="s">
        <v>47</v>
      </c>
      <c r="H2" s="8"/>
      <c r="I2" s="8"/>
      <c r="J2" s="8"/>
      <c r="K2" s="8"/>
    </row>
    <row r="3" customFormat="false" ht="57.45" hidden="false" customHeight="false" outlineLevel="0" collapsed="false">
      <c r="A3" s="7" t="s">
        <v>136</v>
      </c>
      <c r="B3" s="7" t="s">
        <v>137</v>
      </c>
      <c r="C3" s="7" t="n">
        <v>2025</v>
      </c>
      <c r="D3" s="7" t="s">
        <v>138</v>
      </c>
      <c r="E3" s="7" t="s">
        <v>139</v>
      </c>
      <c r="F3" s="7" t="s">
        <v>140</v>
      </c>
      <c r="G3" s="8" t="s">
        <v>47</v>
      </c>
      <c r="H3" s="8"/>
      <c r="I3" s="8"/>
      <c r="J3" s="8"/>
      <c r="K3" s="8"/>
    </row>
    <row r="4" customFormat="false" ht="57.45" hidden="false" customHeight="false" outlineLevel="0" collapsed="false">
      <c r="A4" s="7" t="s">
        <v>141</v>
      </c>
      <c r="B4" s="7" t="s">
        <v>142</v>
      </c>
      <c r="C4" s="7" t="s">
        <v>57</v>
      </c>
      <c r="D4" s="7" t="s">
        <v>143</v>
      </c>
      <c r="E4" s="7" t="s">
        <v>144</v>
      </c>
      <c r="F4" s="7" t="s">
        <v>145</v>
      </c>
      <c r="G4" s="8" t="s">
        <v>47</v>
      </c>
      <c r="H4" s="8"/>
      <c r="I4" s="8"/>
      <c r="J4" s="8"/>
      <c r="K4" s="8"/>
    </row>
    <row r="5" customFormat="false" ht="57.45" hidden="false" customHeight="false" outlineLevel="0" collapsed="false">
      <c r="A5" s="7" t="s">
        <v>146</v>
      </c>
      <c r="B5" s="7" t="s">
        <v>38</v>
      </c>
      <c r="C5" s="7" t="n">
        <v>2025</v>
      </c>
      <c r="D5" s="7" t="s">
        <v>147</v>
      </c>
      <c r="E5" s="7" t="s">
        <v>148</v>
      </c>
      <c r="F5" s="7" t="s">
        <v>149</v>
      </c>
      <c r="G5" s="8" t="s">
        <v>47</v>
      </c>
      <c r="H5" s="8"/>
      <c r="I5" s="8"/>
      <c r="J5" s="8"/>
      <c r="K5" s="8"/>
    </row>
    <row r="6" customFormat="false" ht="57.45" hidden="false" customHeight="false" outlineLevel="0" collapsed="false">
      <c r="A6" s="7" t="s">
        <v>150</v>
      </c>
      <c r="B6" s="7" t="s">
        <v>86</v>
      </c>
      <c r="C6" s="7" t="n">
        <v>2026</v>
      </c>
      <c r="D6" s="7" t="s">
        <v>151</v>
      </c>
      <c r="E6" s="7" t="s">
        <v>152</v>
      </c>
      <c r="F6" s="7" t="s">
        <v>153</v>
      </c>
      <c r="G6" s="8" t="s">
        <v>47</v>
      </c>
      <c r="H6" s="8"/>
      <c r="I6" s="8"/>
      <c r="J6" s="8"/>
      <c r="K6" s="8"/>
    </row>
    <row r="7" customFormat="false" ht="57.45" hidden="false" customHeight="false" outlineLevel="0" collapsed="false">
      <c r="A7" s="7" t="s">
        <v>154</v>
      </c>
      <c r="B7" s="7" t="s">
        <v>86</v>
      </c>
      <c r="C7" s="7" t="n">
        <v>2025</v>
      </c>
      <c r="D7" s="7" t="s">
        <v>155</v>
      </c>
      <c r="E7" s="7" t="s">
        <v>156</v>
      </c>
      <c r="F7" s="7" t="s">
        <v>157</v>
      </c>
      <c r="G7" s="8" t="s">
        <v>47</v>
      </c>
      <c r="H7" s="8"/>
      <c r="I7" s="8"/>
      <c r="J7" s="8"/>
      <c r="K7" s="8"/>
    </row>
    <row r="8" customFormat="false" ht="57.45" hidden="false" customHeight="false" outlineLevel="0" collapsed="false">
      <c r="A8" s="7" t="s">
        <v>158</v>
      </c>
      <c r="B8" s="7" t="s">
        <v>86</v>
      </c>
      <c r="C8" s="7" t="n">
        <v>2021</v>
      </c>
      <c r="D8" s="7" t="s">
        <v>159</v>
      </c>
      <c r="E8" s="7" t="s">
        <v>160</v>
      </c>
      <c r="F8" s="7" t="s">
        <v>161</v>
      </c>
      <c r="G8" s="8" t="s">
        <v>47</v>
      </c>
      <c r="H8" s="8"/>
      <c r="I8" s="8"/>
      <c r="J8" s="8"/>
      <c r="K8" s="8"/>
    </row>
    <row r="9" customFormat="false" ht="57.45" hidden="false" customHeight="false" outlineLevel="0" collapsed="false">
      <c r="A9" s="7" t="s">
        <v>162</v>
      </c>
      <c r="B9" s="7" t="s">
        <v>163</v>
      </c>
      <c r="C9" s="7" t="n">
        <v>2025</v>
      </c>
      <c r="D9" s="7" t="s">
        <v>164</v>
      </c>
      <c r="E9" s="7" t="s">
        <v>165</v>
      </c>
      <c r="F9" s="7" t="s">
        <v>166</v>
      </c>
      <c r="G9" s="8" t="s">
        <v>47</v>
      </c>
      <c r="H9" s="8"/>
      <c r="I9" s="8"/>
      <c r="J9" s="8"/>
      <c r="K9" s="8"/>
    </row>
    <row r="10" customFormat="false" ht="57.45" hidden="false" customHeight="false" outlineLevel="0" collapsed="false">
      <c r="A10" s="7" t="s">
        <v>167</v>
      </c>
      <c r="B10" s="7" t="s">
        <v>163</v>
      </c>
      <c r="C10" s="7" t="n">
        <v>2020</v>
      </c>
      <c r="D10" s="7" t="s">
        <v>168</v>
      </c>
      <c r="E10" s="7" t="s">
        <v>169</v>
      </c>
      <c r="F10" s="7" t="s">
        <v>170</v>
      </c>
      <c r="G10" s="8" t="s">
        <v>47</v>
      </c>
      <c r="H10" s="8"/>
      <c r="I10" s="8"/>
      <c r="J10" s="8"/>
      <c r="K10" s="8"/>
    </row>
    <row r="11" customFormat="false" ht="68.65" hidden="false" customHeight="false" outlineLevel="0" collapsed="false">
      <c r="A11" s="7" t="s">
        <v>171</v>
      </c>
      <c r="B11" s="7" t="s">
        <v>172</v>
      </c>
      <c r="C11" s="7" t="n">
        <v>2025</v>
      </c>
      <c r="D11" s="7" t="s">
        <v>173</v>
      </c>
      <c r="E11" s="7" t="s">
        <v>174</v>
      </c>
      <c r="F11" s="7" t="s">
        <v>175</v>
      </c>
      <c r="G11" s="8" t="s">
        <v>47</v>
      </c>
      <c r="H11" s="8"/>
      <c r="I11" s="8"/>
      <c r="J11" s="8"/>
      <c r="K11" s="8"/>
    </row>
    <row r="12" customFormat="false" ht="68.65" hidden="false" customHeight="false" outlineLevel="0" collapsed="false">
      <c r="A12" s="7" t="s">
        <v>176</v>
      </c>
      <c r="B12" s="7" t="s">
        <v>177</v>
      </c>
      <c r="C12" s="7" t="n">
        <v>2025</v>
      </c>
      <c r="D12" s="7" t="s">
        <v>178</v>
      </c>
      <c r="E12" s="7" t="s">
        <v>179</v>
      </c>
      <c r="F12" s="7" t="s">
        <v>180</v>
      </c>
      <c r="G12" s="8" t="s">
        <v>47</v>
      </c>
      <c r="H12" s="8"/>
      <c r="I12" s="8"/>
      <c r="J12" s="8"/>
      <c r="K12" s="8"/>
    </row>
    <row r="13" customFormat="false" ht="57.45" hidden="false" customHeight="false" outlineLevel="0" collapsed="false">
      <c r="A13" s="7" t="s">
        <v>181</v>
      </c>
      <c r="B13" s="7" t="s">
        <v>182</v>
      </c>
      <c r="C13" s="7" t="n">
        <v>2025</v>
      </c>
      <c r="D13" s="7" t="s">
        <v>183</v>
      </c>
      <c r="E13" s="7" t="s">
        <v>184</v>
      </c>
      <c r="F13" s="7" t="s">
        <v>185</v>
      </c>
      <c r="G13" s="8" t="s">
        <v>47</v>
      </c>
      <c r="H13" s="8"/>
      <c r="I13" s="8"/>
      <c r="J13" s="8"/>
      <c r="K13" s="8"/>
    </row>
    <row r="14" customFormat="false" ht="57.45" hidden="false" customHeight="false" outlineLevel="0" collapsed="false">
      <c r="A14" s="7" t="s">
        <v>186</v>
      </c>
      <c r="B14" s="7" t="s">
        <v>187</v>
      </c>
      <c r="C14" s="7" t="n">
        <v>2025</v>
      </c>
      <c r="D14" s="7" t="s">
        <v>188</v>
      </c>
      <c r="E14" s="7" t="s">
        <v>189</v>
      </c>
      <c r="F14" s="7" t="s">
        <v>190</v>
      </c>
      <c r="G14" s="8" t="s">
        <v>47</v>
      </c>
      <c r="H14" s="8"/>
      <c r="I14" s="8"/>
      <c r="J14" s="8"/>
      <c r="K14" s="8"/>
    </row>
    <row r="15" customFormat="false" ht="57.45" hidden="false" customHeight="false" outlineLevel="0" collapsed="false">
      <c r="A15" s="7" t="s">
        <v>191</v>
      </c>
      <c r="B15" s="7" t="s">
        <v>163</v>
      </c>
      <c r="C15" s="7" t="n">
        <v>2019</v>
      </c>
      <c r="D15" s="7" t="s">
        <v>192</v>
      </c>
      <c r="E15" s="7" t="s">
        <v>193</v>
      </c>
      <c r="F15" s="7" t="s">
        <v>194</v>
      </c>
      <c r="G15" s="8" t="s">
        <v>47</v>
      </c>
      <c r="H15" s="8"/>
      <c r="I15" s="8"/>
      <c r="J15" s="8"/>
      <c r="K15" s="8"/>
    </row>
    <row r="16" customFormat="false" ht="57.45" hidden="false" customHeight="false" outlineLevel="0" collapsed="false">
      <c r="A16" s="7" t="s">
        <v>195</v>
      </c>
      <c r="B16" s="7" t="s">
        <v>196</v>
      </c>
      <c r="C16" s="7" t="n">
        <v>2026</v>
      </c>
      <c r="D16" s="7" t="s">
        <v>197</v>
      </c>
      <c r="E16" s="7" t="s">
        <v>198</v>
      </c>
      <c r="F16" s="7" t="s">
        <v>199</v>
      </c>
      <c r="G16" s="8" t="s">
        <v>47</v>
      </c>
      <c r="H16" s="8"/>
      <c r="I16" s="8"/>
      <c r="J16" s="8"/>
      <c r="K16" s="8"/>
    </row>
    <row r="17" customFormat="false" ht="57.45" hidden="false" customHeight="false" outlineLevel="0" collapsed="false">
      <c r="A17" s="7" t="s">
        <v>200</v>
      </c>
      <c r="B17" s="7" t="s">
        <v>201</v>
      </c>
      <c r="C17" s="7" t="n">
        <v>2026</v>
      </c>
      <c r="D17" s="7" t="s">
        <v>202</v>
      </c>
      <c r="E17" s="7" t="s">
        <v>203</v>
      </c>
      <c r="F17" s="7" t="s">
        <v>204</v>
      </c>
      <c r="G17" s="8" t="s">
        <v>47</v>
      </c>
      <c r="H17" s="8"/>
      <c r="I17" s="8"/>
      <c r="J17" s="8"/>
      <c r="K17" s="8"/>
    </row>
    <row r="18" customFormat="false" ht="57.45" hidden="false" customHeight="false" outlineLevel="0" collapsed="false">
      <c r="A18" s="7" t="s">
        <v>205</v>
      </c>
      <c r="B18" s="7" t="s">
        <v>206</v>
      </c>
      <c r="C18" s="7" t="n">
        <v>2026</v>
      </c>
      <c r="D18" s="7" t="s">
        <v>207</v>
      </c>
      <c r="E18" s="7" t="s">
        <v>208</v>
      </c>
      <c r="F18" s="7" t="s">
        <v>209</v>
      </c>
      <c r="G18" s="8" t="s">
        <v>47</v>
      </c>
      <c r="H18" s="8"/>
      <c r="I18" s="8"/>
      <c r="J18" s="8"/>
      <c r="K18" s="8"/>
    </row>
    <row r="19" customFormat="false" ht="79.85" hidden="false" customHeight="false" outlineLevel="0" collapsed="false">
      <c r="A19" s="7" t="s">
        <v>210</v>
      </c>
      <c r="B19" s="7" t="s">
        <v>206</v>
      </c>
      <c r="C19" s="7" t="n">
        <v>2026</v>
      </c>
      <c r="D19" s="7" t="s">
        <v>211</v>
      </c>
      <c r="E19" s="7" t="s">
        <v>208</v>
      </c>
      <c r="F19" s="7" t="s">
        <v>212</v>
      </c>
      <c r="G19" s="8" t="s">
        <v>47</v>
      </c>
      <c r="H19" s="8"/>
      <c r="I19" s="8"/>
      <c r="J19" s="8"/>
      <c r="K19" s="8"/>
    </row>
    <row r="20" customFormat="false" ht="68.65" hidden="false" customHeight="false" outlineLevel="0" collapsed="false">
      <c r="A20" s="7" t="s">
        <v>213</v>
      </c>
      <c r="B20" s="7" t="s">
        <v>38</v>
      </c>
      <c r="C20" s="7" t="n">
        <v>2025</v>
      </c>
      <c r="D20" s="7" t="s">
        <v>214</v>
      </c>
      <c r="E20" s="7" t="s">
        <v>215</v>
      </c>
      <c r="F20" s="7" t="s">
        <v>216</v>
      </c>
      <c r="G20" s="8" t="s">
        <v>47</v>
      </c>
      <c r="H20" s="8"/>
      <c r="I20" s="8"/>
      <c r="J20" s="8"/>
      <c r="K20" s="8"/>
    </row>
    <row r="21" customFormat="false" ht="68.65" hidden="false" customHeight="false" outlineLevel="0" collapsed="false">
      <c r="A21" s="7" t="s">
        <v>217</v>
      </c>
      <c r="B21" s="7" t="s">
        <v>38</v>
      </c>
      <c r="C21" s="7" t="n">
        <v>2024</v>
      </c>
      <c r="D21" s="7" t="s">
        <v>218</v>
      </c>
      <c r="E21" s="7" t="s">
        <v>219</v>
      </c>
      <c r="F21" s="7" t="s">
        <v>216</v>
      </c>
      <c r="G21" s="8" t="s">
        <v>47</v>
      </c>
      <c r="H21" s="8"/>
      <c r="I21" s="8"/>
      <c r="J21" s="8"/>
      <c r="K21" s="8"/>
    </row>
    <row r="22" customFormat="false" ht="57.45" hidden="false" customHeight="false" outlineLevel="0" collapsed="false">
      <c r="A22" s="7" t="s">
        <v>220</v>
      </c>
      <c r="B22" s="7" t="s">
        <v>221</v>
      </c>
      <c r="C22" s="7" t="n">
        <v>2026</v>
      </c>
      <c r="D22" s="7" t="s">
        <v>222</v>
      </c>
      <c r="E22" s="7" t="s">
        <v>223</v>
      </c>
      <c r="F22" s="7" t="s">
        <v>224</v>
      </c>
      <c r="G22" s="8" t="s">
        <v>47</v>
      </c>
      <c r="H22" s="8"/>
      <c r="I22" s="8"/>
      <c r="J22" s="8"/>
      <c r="K22" s="8"/>
    </row>
    <row r="23" customFormat="false" ht="68.65" hidden="false" customHeight="false" outlineLevel="0" collapsed="false">
      <c r="A23" s="7" t="s">
        <v>225</v>
      </c>
      <c r="B23" s="7" t="s">
        <v>221</v>
      </c>
      <c r="C23" s="7" t="n">
        <v>2026</v>
      </c>
      <c r="D23" s="7" t="s">
        <v>226</v>
      </c>
      <c r="E23" s="7" t="s">
        <v>227</v>
      </c>
      <c r="F23" s="7" t="s">
        <v>228</v>
      </c>
      <c r="G23" s="8" t="s">
        <v>47</v>
      </c>
      <c r="H23" s="8"/>
      <c r="I23" s="8"/>
      <c r="J23" s="8"/>
      <c r="K23" s="8"/>
    </row>
    <row r="24" customFormat="false" ht="57.45" hidden="false" customHeight="false" outlineLevel="0" collapsed="false">
      <c r="A24" s="7" t="s">
        <v>229</v>
      </c>
      <c r="B24" s="7" t="s">
        <v>102</v>
      </c>
      <c r="C24" s="7" t="n">
        <v>2026</v>
      </c>
      <c r="D24" s="7" t="s">
        <v>230</v>
      </c>
      <c r="E24" s="7" t="s">
        <v>231</v>
      </c>
      <c r="F24" s="7" t="s">
        <v>232</v>
      </c>
      <c r="G24" s="8" t="s">
        <v>47</v>
      </c>
      <c r="H24" s="8"/>
      <c r="I24" s="8"/>
      <c r="J24" s="8"/>
      <c r="K24" s="8"/>
    </row>
    <row r="25" customFormat="false" ht="68.65" hidden="false" customHeight="false" outlineLevel="0" collapsed="false">
      <c r="A25" s="7" t="s">
        <v>233</v>
      </c>
      <c r="B25" s="7" t="s">
        <v>234</v>
      </c>
      <c r="C25" s="7" t="n">
        <v>2025</v>
      </c>
      <c r="D25" s="7" t="s">
        <v>235</v>
      </c>
      <c r="E25" s="7" t="s">
        <v>236</v>
      </c>
      <c r="F25" s="7" t="s">
        <v>237</v>
      </c>
      <c r="G25" s="8" t="s">
        <v>47</v>
      </c>
      <c r="H25" s="8"/>
      <c r="I25" s="8"/>
      <c r="J25" s="8"/>
      <c r="K25" s="8"/>
    </row>
    <row r="26" customFormat="false" ht="57.45" hidden="false" customHeight="false" outlineLevel="0" collapsed="false">
      <c r="A26" s="7" t="s">
        <v>238</v>
      </c>
      <c r="B26" s="7" t="s">
        <v>239</v>
      </c>
      <c r="C26" s="7" t="n">
        <v>2025</v>
      </c>
      <c r="D26" s="7" t="s">
        <v>240</v>
      </c>
      <c r="E26" s="7" t="s">
        <v>241</v>
      </c>
      <c r="F26" s="7" t="s">
        <v>242</v>
      </c>
      <c r="G26" s="8" t="s">
        <v>47</v>
      </c>
      <c r="H26" s="8"/>
      <c r="I26" s="8"/>
      <c r="J26" s="8"/>
      <c r="K26" s="8"/>
    </row>
    <row r="27" customFormat="false" ht="68.65" hidden="false" customHeight="false" outlineLevel="0" collapsed="false">
      <c r="A27" s="7" t="s">
        <v>243</v>
      </c>
      <c r="B27" s="7" t="s">
        <v>244</v>
      </c>
      <c r="C27" s="7" t="n">
        <v>2026</v>
      </c>
      <c r="D27" s="7" t="s">
        <v>245</v>
      </c>
      <c r="E27" s="7" t="s">
        <v>246</v>
      </c>
      <c r="F27" s="7" t="s">
        <v>247</v>
      </c>
      <c r="G27" s="8" t="s">
        <v>47</v>
      </c>
      <c r="H27" s="8"/>
      <c r="I27" s="8"/>
      <c r="J27" s="8"/>
      <c r="K27" s="8"/>
    </row>
    <row r="28" customFormat="false" ht="79.85" hidden="false" customHeight="false" outlineLevel="0" collapsed="false">
      <c r="A28" s="7" t="s">
        <v>248</v>
      </c>
      <c r="B28" s="7" t="s">
        <v>38</v>
      </c>
      <c r="C28" s="7" t="n">
        <v>2024</v>
      </c>
      <c r="D28" s="7" t="s">
        <v>249</v>
      </c>
      <c r="E28" s="7" t="s">
        <v>250</v>
      </c>
      <c r="F28" s="7" t="s">
        <v>251</v>
      </c>
      <c r="G28" s="8" t="s">
        <v>47</v>
      </c>
      <c r="H28" s="8"/>
      <c r="I28" s="8"/>
      <c r="J28" s="8"/>
      <c r="K28" s="8"/>
    </row>
    <row r="29" customFormat="false" ht="68.65" hidden="false" customHeight="false" outlineLevel="0" collapsed="false">
      <c r="A29" s="7" t="s">
        <v>252</v>
      </c>
      <c r="B29" s="7" t="s">
        <v>38</v>
      </c>
      <c r="C29" s="7" t="n">
        <v>2024</v>
      </c>
      <c r="D29" s="7" t="s">
        <v>253</v>
      </c>
      <c r="E29" s="7" t="s">
        <v>254</v>
      </c>
      <c r="F29" s="7" t="s">
        <v>255</v>
      </c>
      <c r="G29" s="8" t="s">
        <v>47</v>
      </c>
      <c r="H29" s="8"/>
      <c r="I29" s="8"/>
      <c r="J29" s="8"/>
      <c r="K29" s="8"/>
    </row>
    <row r="30" customFormat="false" ht="68.65" hidden="false" customHeight="false" outlineLevel="0" collapsed="false">
      <c r="A30" s="7" t="s">
        <v>256</v>
      </c>
      <c r="B30" s="7" t="s">
        <v>257</v>
      </c>
      <c r="C30" s="7" t="n">
        <v>2024</v>
      </c>
      <c r="D30" s="7" t="s">
        <v>258</v>
      </c>
      <c r="E30" s="7" t="s">
        <v>259</v>
      </c>
      <c r="F30" s="7" t="s">
        <v>260</v>
      </c>
      <c r="G30" s="8" t="s">
        <v>47</v>
      </c>
      <c r="H30" s="8"/>
      <c r="I30" s="8"/>
      <c r="J30" s="8"/>
      <c r="K30" s="8"/>
    </row>
    <row r="31" customFormat="false" ht="57.45" hidden="false" customHeight="false" outlineLevel="0" collapsed="false">
      <c r="A31" s="7" t="s">
        <v>261</v>
      </c>
      <c r="B31" s="7" t="s">
        <v>262</v>
      </c>
      <c r="C31" s="7" t="n">
        <v>2024</v>
      </c>
      <c r="D31" s="7" t="s">
        <v>263</v>
      </c>
      <c r="E31" s="7" t="s">
        <v>264</v>
      </c>
      <c r="F31" s="7" t="s">
        <v>265</v>
      </c>
      <c r="G31" s="8" t="s">
        <v>47</v>
      </c>
      <c r="H31" s="8"/>
      <c r="I31" s="8"/>
      <c r="J31" s="8"/>
      <c r="K31" s="8"/>
    </row>
    <row r="32" customFormat="false" ht="57.45" hidden="false" customHeight="false" outlineLevel="0" collapsed="false">
      <c r="A32" s="7" t="s">
        <v>266</v>
      </c>
      <c r="B32" s="7" t="s">
        <v>262</v>
      </c>
      <c r="C32" s="7" t="n">
        <v>2024</v>
      </c>
      <c r="D32" s="7" t="s">
        <v>267</v>
      </c>
      <c r="E32" s="7" t="s">
        <v>268</v>
      </c>
      <c r="F32" s="7" t="s">
        <v>269</v>
      </c>
      <c r="G32" s="8" t="s">
        <v>47</v>
      </c>
      <c r="H32" s="8"/>
      <c r="I32" s="8"/>
      <c r="J32" s="8"/>
      <c r="K32" s="8"/>
    </row>
    <row r="33" customFormat="false" ht="68.65" hidden="false" customHeight="false" outlineLevel="0" collapsed="false">
      <c r="A33" s="7" t="s">
        <v>270</v>
      </c>
      <c r="B33" s="7" t="s">
        <v>262</v>
      </c>
      <c r="C33" s="7" t="n">
        <v>2024</v>
      </c>
      <c r="D33" s="7" t="s">
        <v>271</v>
      </c>
      <c r="E33" s="7" t="s">
        <v>272</v>
      </c>
      <c r="F33" s="7" t="s">
        <v>273</v>
      </c>
      <c r="G33" s="8" t="s">
        <v>47</v>
      </c>
      <c r="H33" s="8"/>
      <c r="I33" s="8"/>
      <c r="J33" s="8"/>
      <c r="K33" s="8"/>
    </row>
    <row r="34" customFormat="false" ht="68.65" hidden="false" customHeight="false" outlineLevel="0" collapsed="false">
      <c r="A34" s="7" t="s">
        <v>274</v>
      </c>
      <c r="B34" s="7" t="s">
        <v>262</v>
      </c>
      <c r="C34" s="7" t="n">
        <v>2024</v>
      </c>
      <c r="D34" s="7" t="s">
        <v>275</v>
      </c>
      <c r="E34" s="7" t="s">
        <v>276</v>
      </c>
      <c r="F34" s="7" t="s">
        <v>277</v>
      </c>
      <c r="G34" s="8" t="s">
        <v>47</v>
      </c>
      <c r="H34" s="8"/>
      <c r="I34" s="8"/>
      <c r="J34" s="8"/>
      <c r="K34" s="8"/>
    </row>
    <row r="35" customFormat="false" ht="57.45" hidden="false" customHeight="false" outlineLevel="0" collapsed="false">
      <c r="A35" s="7" t="s">
        <v>278</v>
      </c>
      <c r="B35" s="7" t="s">
        <v>38</v>
      </c>
      <c r="C35" s="7" t="n">
        <v>2024</v>
      </c>
      <c r="D35" s="7" t="s">
        <v>279</v>
      </c>
      <c r="E35" s="7" t="s">
        <v>280</v>
      </c>
      <c r="F35" s="7" t="s">
        <v>281</v>
      </c>
      <c r="G35" s="8" t="s">
        <v>47</v>
      </c>
      <c r="H35" s="8"/>
      <c r="I35" s="8"/>
      <c r="J35" s="8"/>
      <c r="K35" s="8"/>
    </row>
    <row r="36" customFormat="false" ht="57.45" hidden="false" customHeight="false" outlineLevel="0" collapsed="false">
      <c r="A36" s="7" t="s">
        <v>282</v>
      </c>
      <c r="B36" s="7" t="s">
        <v>38</v>
      </c>
      <c r="C36" s="7" t="n">
        <v>2024</v>
      </c>
      <c r="D36" s="7" t="s">
        <v>283</v>
      </c>
      <c r="E36" s="7" t="s">
        <v>284</v>
      </c>
      <c r="F36" s="7" t="s">
        <v>285</v>
      </c>
      <c r="G36" s="8" t="s">
        <v>47</v>
      </c>
      <c r="H36" s="8"/>
      <c r="I36" s="8"/>
      <c r="J36" s="8"/>
      <c r="K36" s="8"/>
    </row>
    <row r="37" customFormat="false" ht="57.45" hidden="false" customHeight="false" outlineLevel="0" collapsed="false">
      <c r="A37" s="7" t="s">
        <v>286</v>
      </c>
      <c r="B37" s="7" t="s">
        <v>287</v>
      </c>
      <c r="C37" s="7" t="n">
        <v>2026</v>
      </c>
      <c r="D37" s="7" t="s">
        <v>288</v>
      </c>
      <c r="E37" s="7" t="s">
        <v>289</v>
      </c>
      <c r="F37" s="7" t="s">
        <v>290</v>
      </c>
      <c r="G37" s="8" t="s">
        <v>47</v>
      </c>
      <c r="H37" s="8"/>
      <c r="I37" s="8"/>
      <c r="J37" s="8"/>
      <c r="K37" s="8"/>
    </row>
    <row r="38" customFormat="false" ht="57.45" hidden="false" customHeight="false" outlineLevel="0" collapsed="false">
      <c r="A38" s="7" t="s">
        <v>291</v>
      </c>
      <c r="B38" s="7" t="s">
        <v>244</v>
      </c>
      <c r="C38" s="7" t="n">
        <v>2026</v>
      </c>
      <c r="D38" s="7" t="s">
        <v>292</v>
      </c>
      <c r="E38" s="7" t="s">
        <v>293</v>
      </c>
      <c r="F38" s="7" t="s">
        <v>294</v>
      </c>
      <c r="G38" s="8" t="s">
        <v>47</v>
      </c>
      <c r="H38" s="8"/>
      <c r="I38" s="8"/>
      <c r="J38" s="8"/>
      <c r="K38" s="8"/>
    </row>
    <row r="39" customFormat="false" ht="57.45" hidden="false" customHeight="false" outlineLevel="0" collapsed="false">
      <c r="A39" s="7" t="s">
        <v>295</v>
      </c>
      <c r="B39" s="7" t="s">
        <v>296</v>
      </c>
      <c r="C39" s="7" t="n">
        <v>2025</v>
      </c>
      <c r="D39" s="7" t="s">
        <v>297</v>
      </c>
      <c r="E39" s="7" t="s">
        <v>298</v>
      </c>
      <c r="F39" s="7" t="s">
        <v>299</v>
      </c>
      <c r="G39" s="8" t="s">
        <v>47</v>
      </c>
      <c r="H39" s="8"/>
      <c r="I39" s="8"/>
      <c r="J39" s="8"/>
      <c r="K39" s="8"/>
    </row>
    <row r="40" customFormat="false" ht="124.6" hidden="false" customHeight="false" outlineLevel="0" collapsed="false">
      <c r="A40" s="7" t="s">
        <v>300</v>
      </c>
      <c r="B40" s="7" t="s">
        <v>301</v>
      </c>
      <c r="C40" s="7" t="n">
        <v>2026</v>
      </c>
      <c r="D40" s="7" t="s">
        <v>302</v>
      </c>
      <c r="E40" s="7" t="s">
        <v>303</v>
      </c>
      <c r="F40" s="7" t="s">
        <v>304</v>
      </c>
      <c r="G40" s="8" t="s">
        <v>47</v>
      </c>
      <c r="H40" s="8"/>
      <c r="I40" s="8"/>
      <c r="J40" s="8"/>
      <c r="K40" s="8"/>
    </row>
    <row r="41" customFormat="false" ht="113.4" hidden="false" customHeight="false" outlineLevel="0" collapsed="false">
      <c r="A41" s="7" t="s">
        <v>305</v>
      </c>
      <c r="B41" s="7" t="s">
        <v>301</v>
      </c>
      <c r="C41" s="7" t="n">
        <v>2026</v>
      </c>
      <c r="D41" s="7" t="s">
        <v>306</v>
      </c>
      <c r="E41" s="7" t="s">
        <v>307</v>
      </c>
      <c r="F41" s="7" t="s">
        <v>304</v>
      </c>
      <c r="G41" s="8" t="s">
        <v>47</v>
      </c>
      <c r="H41" s="8"/>
      <c r="I41" s="8"/>
      <c r="J41" s="8"/>
      <c r="K41" s="8"/>
    </row>
  </sheetData>
  <autoFilter ref="A1:K41"/>
  <dataValidations count="1">
    <dataValidation allowBlank="true" errorStyle="stop" operator="between" showDropDown="false" showErrorMessage="false" showInputMessage="false" sqref="G2:G41" type="list">
      <formula1>"offen,ja,ja und weitere zulässig,teilweise,nein"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6"/>
    <col collapsed="false" customWidth="true" hidden="false" outlineLevel="0" max="3" min="3" style="0" width="14"/>
    <col collapsed="false" customWidth="true" hidden="false" outlineLevel="0" max="4" min="4" style="0" width="24"/>
    <col collapsed="false" customWidth="true" hidden="false" outlineLevel="0" max="8" min="5" style="0" width="10"/>
    <col collapsed="false" customWidth="true" hidden="false" outlineLevel="0" max="9" min="9" style="0" width="40"/>
    <col collapsed="false" customWidth="true" hidden="false" outlineLevel="0" max="10" min="10" style="0" width="16"/>
    <col collapsed="false" customWidth="true" hidden="false" outlineLevel="0" max="12" min="11" style="0" width="11"/>
    <col collapsed="false" customWidth="true" hidden="false" outlineLevel="0" max="13" min="13" style="0" width="12"/>
    <col collapsed="false" customWidth="true" hidden="false" outlineLevel="0" max="14" min="14" style="0" width="30"/>
    <col collapsed="false" customWidth="true" hidden="false" outlineLevel="0" max="15" min="15" style="0" width="12"/>
    <col collapsed="false" customWidth="true" hidden="false" outlineLevel="0" max="16" min="16" style="0" width="11"/>
  </cols>
  <sheetData>
    <row r="1" customFormat="false" ht="31.5" hidden="false" customHeight="true" outlineLevel="0" collapsed="false">
      <c r="A1" s="6" t="s">
        <v>308</v>
      </c>
      <c r="B1" s="6" t="s">
        <v>309</v>
      </c>
      <c r="C1" s="6" t="s">
        <v>310</v>
      </c>
      <c r="D1" s="6" t="s">
        <v>311</v>
      </c>
      <c r="E1" s="6" t="s">
        <v>312</v>
      </c>
      <c r="F1" s="6" t="s">
        <v>313</v>
      </c>
      <c r="G1" s="6" t="s">
        <v>314</v>
      </c>
      <c r="H1" s="6" t="s">
        <v>315</v>
      </c>
      <c r="I1" s="6" t="s">
        <v>316</v>
      </c>
      <c r="J1" s="6" t="s">
        <v>32</v>
      </c>
      <c r="K1" s="6" t="s">
        <v>317</v>
      </c>
      <c r="L1" s="6" t="s">
        <v>318</v>
      </c>
      <c r="M1" s="6" t="s">
        <v>319</v>
      </c>
      <c r="N1" s="6" t="s">
        <v>34</v>
      </c>
      <c r="O1" s="6" t="s">
        <v>35</v>
      </c>
      <c r="P1" s="6" t="s">
        <v>36</v>
      </c>
    </row>
    <row r="2" customFormat="false" ht="35.05" hidden="false" customHeight="false" outlineLevel="0" collapsed="false">
      <c r="A2" s="7" t="s">
        <v>320</v>
      </c>
      <c r="B2" s="7" t="s">
        <v>321</v>
      </c>
      <c r="C2" s="7" t="s">
        <v>322</v>
      </c>
      <c r="D2" s="7" t="s">
        <v>323</v>
      </c>
      <c r="E2" s="7" t="s">
        <v>324</v>
      </c>
      <c r="F2" s="7" t="s">
        <v>325</v>
      </c>
      <c r="G2" s="7" t="s">
        <v>326</v>
      </c>
      <c r="H2" s="7" t="s">
        <v>327</v>
      </c>
      <c r="I2" s="7" t="s">
        <v>328</v>
      </c>
      <c r="J2" s="8" t="s">
        <v>47</v>
      </c>
      <c r="K2" s="8"/>
      <c r="L2" s="8"/>
      <c r="M2" s="8"/>
      <c r="N2" s="8"/>
      <c r="O2" s="8"/>
      <c r="P2" s="8"/>
    </row>
    <row r="3" customFormat="false" ht="23.85" hidden="false" customHeight="false" outlineLevel="0" collapsed="false">
      <c r="A3" s="7" t="s">
        <v>329</v>
      </c>
      <c r="B3" s="7" t="s">
        <v>330</v>
      </c>
      <c r="C3" s="7" t="s">
        <v>331</v>
      </c>
      <c r="D3" s="7" t="s">
        <v>323</v>
      </c>
      <c r="E3" s="7" t="s">
        <v>332</v>
      </c>
      <c r="F3" s="7" t="s">
        <v>325</v>
      </c>
      <c r="G3" s="7" t="s">
        <v>326</v>
      </c>
      <c r="H3" s="7" t="s">
        <v>327</v>
      </c>
      <c r="I3" s="7"/>
      <c r="J3" s="8" t="s">
        <v>47</v>
      </c>
      <c r="K3" s="8"/>
      <c r="L3" s="8"/>
      <c r="M3" s="8"/>
      <c r="N3" s="8"/>
      <c r="O3" s="8"/>
      <c r="P3" s="8"/>
    </row>
    <row r="4" customFormat="false" ht="23.85" hidden="false" customHeight="false" outlineLevel="0" collapsed="false">
      <c r="A4" s="7" t="s">
        <v>333</v>
      </c>
      <c r="B4" s="7" t="s">
        <v>334</v>
      </c>
      <c r="C4" s="7" t="s">
        <v>331</v>
      </c>
      <c r="D4" s="7" t="s">
        <v>323</v>
      </c>
      <c r="E4" s="7" t="s">
        <v>332</v>
      </c>
      <c r="F4" s="7" t="s">
        <v>325</v>
      </c>
      <c r="G4" s="7" t="s">
        <v>326</v>
      </c>
      <c r="H4" s="7" t="s">
        <v>327</v>
      </c>
      <c r="I4" s="7"/>
      <c r="J4" s="8" t="s">
        <v>47</v>
      </c>
      <c r="K4" s="8"/>
      <c r="L4" s="8"/>
      <c r="M4" s="8"/>
      <c r="N4" s="8"/>
      <c r="O4" s="8"/>
      <c r="P4" s="8"/>
    </row>
    <row r="5" customFormat="false" ht="23.85" hidden="false" customHeight="false" outlineLevel="0" collapsed="false">
      <c r="A5" s="7" t="s">
        <v>335</v>
      </c>
      <c r="B5" s="7" t="s">
        <v>336</v>
      </c>
      <c r="C5" s="7" t="s">
        <v>331</v>
      </c>
      <c r="D5" s="7" t="s">
        <v>323</v>
      </c>
      <c r="E5" s="7" t="s">
        <v>332</v>
      </c>
      <c r="F5" s="7" t="s">
        <v>325</v>
      </c>
      <c r="G5" s="7" t="s">
        <v>326</v>
      </c>
      <c r="H5" s="7" t="s">
        <v>326</v>
      </c>
      <c r="I5" s="7"/>
      <c r="J5" s="8" t="s">
        <v>47</v>
      </c>
      <c r="K5" s="8"/>
      <c r="L5" s="8"/>
      <c r="M5" s="8"/>
      <c r="N5" s="8"/>
      <c r="O5" s="8"/>
      <c r="P5" s="8"/>
    </row>
    <row r="6" customFormat="false" ht="23.85" hidden="false" customHeight="false" outlineLevel="0" collapsed="false">
      <c r="A6" s="7" t="s">
        <v>337</v>
      </c>
      <c r="B6" s="7" t="s">
        <v>338</v>
      </c>
      <c r="C6" s="7" t="s">
        <v>331</v>
      </c>
      <c r="D6" s="7" t="s">
        <v>323</v>
      </c>
      <c r="E6" s="7" t="s">
        <v>324</v>
      </c>
      <c r="F6" s="7" t="s">
        <v>324</v>
      </c>
      <c r="G6" s="7" t="s">
        <v>326</v>
      </c>
      <c r="H6" s="7" t="s">
        <v>327</v>
      </c>
      <c r="I6" s="7"/>
      <c r="J6" s="8" t="s">
        <v>47</v>
      </c>
      <c r="K6" s="8"/>
      <c r="L6" s="8"/>
      <c r="M6" s="8"/>
      <c r="N6" s="8"/>
      <c r="O6" s="8"/>
      <c r="P6" s="8"/>
    </row>
    <row r="7" customFormat="false" ht="23.85" hidden="false" customHeight="false" outlineLevel="0" collapsed="false">
      <c r="A7" s="7" t="s">
        <v>339</v>
      </c>
      <c r="B7" s="7" t="s">
        <v>340</v>
      </c>
      <c r="C7" s="7" t="s">
        <v>331</v>
      </c>
      <c r="D7" s="7" t="s">
        <v>323</v>
      </c>
      <c r="E7" s="7" t="s">
        <v>341</v>
      </c>
      <c r="F7" s="7" t="s">
        <v>341</v>
      </c>
      <c r="G7" s="7" t="s">
        <v>326</v>
      </c>
      <c r="H7" s="7" t="s">
        <v>327</v>
      </c>
      <c r="I7" s="7"/>
      <c r="J7" s="8" t="s">
        <v>47</v>
      </c>
      <c r="K7" s="8"/>
      <c r="L7" s="8"/>
      <c r="M7" s="8"/>
      <c r="N7" s="8"/>
      <c r="O7" s="8"/>
      <c r="P7" s="8"/>
    </row>
    <row r="8" customFormat="false" ht="23.85" hidden="false" customHeight="false" outlineLevel="0" collapsed="false">
      <c r="A8" s="7" t="s">
        <v>342</v>
      </c>
      <c r="B8" s="7" t="s">
        <v>343</v>
      </c>
      <c r="C8" s="7" t="s">
        <v>331</v>
      </c>
      <c r="D8" s="7" t="s">
        <v>323</v>
      </c>
      <c r="E8" s="7" t="s">
        <v>344</v>
      </c>
      <c r="F8" s="7" t="s">
        <v>344</v>
      </c>
      <c r="G8" s="7" t="s">
        <v>326</v>
      </c>
      <c r="H8" s="7" t="s">
        <v>327</v>
      </c>
      <c r="I8" s="7"/>
      <c r="J8" s="8" t="s">
        <v>47</v>
      </c>
      <c r="K8" s="8"/>
      <c r="L8" s="8"/>
      <c r="M8" s="8"/>
      <c r="N8" s="8"/>
      <c r="O8" s="8"/>
      <c r="P8" s="8"/>
    </row>
    <row r="9" customFormat="false" ht="23.85" hidden="false" customHeight="false" outlineLevel="0" collapsed="false">
      <c r="A9" s="7" t="s">
        <v>345</v>
      </c>
      <c r="B9" s="7" t="s">
        <v>346</v>
      </c>
      <c r="C9" s="7" t="s">
        <v>331</v>
      </c>
      <c r="D9" s="7" t="s">
        <v>323</v>
      </c>
      <c r="E9" s="7" t="s">
        <v>347</v>
      </c>
      <c r="F9" s="7" t="s">
        <v>347</v>
      </c>
      <c r="G9" s="7" t="s">
        <v>326</v>
      </c>
      <c r="H9" s="7" t="s">
        <v>327</v>
      </c>
      <c r="I9" s="7"/>
      <c r="J9" s="8" t="s">
        <v>47</v>
      </c>
      <c r="K9" s="8"/>
      <c r="L9" s="8"/>
      <c r="M9" s="8"/>
      <c r="N9" s="8"/>
      <c r="O9" s="8"/>
      <c r="P9" s="8"/>
    </row>
    <row r="10" customFormat="false" ht="23.85" hidden="false" customHeight="false" outlineLevel="0" collapsed="false">
      <c r="A10" s="7" t="s">
        <v>348</v>
      </c>
      <c r="B10" s="7" t="s">
        <v>349</v>
      </c>
      <c r="C10" s="7" t="s">
        <v>350</v>
      </c>
      <c r="D10" s="7" t="s">
        <v>351</v>
      </c>
      <c r="E10" s="7" t="s">
        <v>344</v>
      </c>
      <c r="F10" s="7" t="s">
        <v>325</v>
      </c>
      <c r="G10" s="7" t="s">
        <v>326</v>
      </c>
      <c r="H10" s="7" t="s">
        <v>327</v>
      </c>
      <c r="I10" s="7"/>
      <c r="J10" s="8" t="s">
        <v>47</v>
      </c>
      <c r="K10" s="8"/>
      <c r="L10" s="8"/>
      <c r="M10" s="8"/>
      <c r="N10" s="8"/>
      <c r="O10" s="8"/>
      <c r="P10" s="8"/>
    </row>
    <row r="11" customFormat="false" ht="35.05" hidden="false" customHeight="false" outlineLevel="0" collapsed="false">
      <c r="A11" s="7" t="s">
        <v>352</v>
      </c>
      <c r="B11" s="7" t="s">
        <v>353</v>
      </c>
      <c r="C11" s="7" t="s">
        <v>350</v>
      </c>
      <c r="D11" s="7" t="s">
        <v>351</v>
      </c>
      <c r="E11" s="7" t="s">
        <v>344</v>
      </c>
      <c r="F11" s="7" t="s">
        <v>325</v>
      </c>
      <c r="G11" s="7" t="s">
        <v>326</v>
      </c>
      <c r="H11" s="7" t="s">
        <v>327</v>
      </c>
      <c r="I11" s="7"/>
      <c r="J11" s="8" t="s">
        <v>47</v>
      </c>
      <c r="K11" s="8"/>
      <c r="L11" s="8"/>
      <c r="M11" s="8"/>
      <c r="N11" s="8"/>
      <c r="O11" s="8"/>
      <c r="P11" s="8"/>
    </row>
    <row r="12" customFormat="false" ht="23.85" hidden="false" customHeight="false" outlineLevel="0" collapsed="false">
      <c r="A12" s="7" t="s">
        <v>354</v>
      </c>
      <c r="B12" s="7" t="s">
        <v>355</v>
      </c>
      <c r="C12" s="7" t="s">
        <v>350</v>
      </c>
      <c r="D12" s="7" t="s">
        <v>351</v>
      </c>
      <c r="E12" s="7" t="s">
        <v>344</v>
      </c>
      <c r="F12" s="7" t="s">
        <v>325</v>
      </c>
      <c r="G12" s="7" t="s">
        <v>326</v>
      </c>
      <c r="H12" s="7" t="s">
        <v>327</v>
      </c>
      <c r="I12" s="7"/>
      <c r="J12" s="8" t="s">
        <v>47</v>
      </c>
      <c r="K12" s="8"/>
      <c r="L12" s="8"/>
      <c r="M12" s="8"/>
      <c r="N12" s="8"/>
      <c r="O12" s="8"/>
      <c r="P12" s="8"/>
    </row>
    <row r="13" customFormat="false" ht="35.05" hidden="false" customHeight="false" outlineLevel="0" collapsed="false">
      <c r="A13" s="7" t="s">
        <v>356</v>
      </c>
      <c r="B13" s="7" t="s">
        <v>357</v>
      </c>
      <c r="C13" s="7" t="s">
        <v>350</v>
      </c>
      <c r="D13" s="7" t="s">
        <v>351</v>
      </c>
      <c r="E13" s="7" t="s">
        <v>344</v>
      </c>
      <c r="F13" s="7" t="s">
        <v>325</v>
      </c>
      <c r="G13" s="7" t="s">
        <v>326</v>
      </c>
      <c r="H13" s="7" t="s">
        <v>327</v>
      </c>
      <c r="I13" s="7"/>
      <c r="J13" s="8" t="s">
        <v>47</v>
      </c>
      <c r="K13" s="8"/>
      <c r="L13" s="8"/>
      <c r="M13" s="8"/>
      <c r="N13" s="8"/>
      <c r="O13" s="8"/>
      <c r="P13" s="8"/>
    </row>
    <row r="14" customFormat="false" ht="23.85" hidden="false" customHeight="false" outlineLevel="0" collapsed="false">
      <c r="A14" s="7" t="s">
        <v>358</v>
      </c>
      <c r="B14" s="7" t="s">
        <v>359</v>
      </c>
      <c r="C14" s="7" t="s">
        <v>350</v>
      </c>
      <c r="D14" s="7" t="s">
        <v>351</v>
      </c>
      <c r="E14" s="7" t="s">
        <v>344</v>
      </c>
      <c r="F14" s="7" t="s">
        <v>325</v>
      </c>
      <c r="G14" s="7" t="s">
        <v>326</v>
      </c>
      <c r="H14" s="7" t="s">
        <v>327</v>
      </c>
      <c r="I14" s="7"/>
      <c r="J14" s="8" t="s">
        <v>47</v>
      </c>
      <c r="K14" s="8"/>
      <c r="L14" s="8"/>
      <c r="M14" s="8"/>
      <c r="N14" s="8"/>
      <c r="O14" s="8"/>
      <c r="P14" s="8"/>
    </row>
    <row r="15" customFormat="false" ht="23.85" hidden="false" customHeight="false" outlineLevel="0" collapsed="false">
      <c r="A15" s="7" t="s">
        <v>360</v>
      </c>
      <c r="B15" s="7" t="s">
        <v>361</v>
      </c>
      <c r="C15" s="7" t="s">
        <v>350</v>
      </c>
      <c r="D15" s="7" t="s">
        <v>351</v>
      </c>
      <c r="E15" s="7" t="s">
        <v>344</v>
      </c>
      <c r="F15" s="7" t="s">
        <v>325</v>
      </c>
      <c r="G15" s="7" t="s">
        <v>326</v>
      </c>
      <c r="H15" s="7" t="s">
        <v>327</v>
      </c>
      <c r="I15" s="7"/>
      <c r="J15" s="8" t="s">
        <v>47</v>
      </c>
      <c r="K15" s="8"/>
      <c r="L15" s="8"/>
      <c r="M15" s="8"/>
      <c r="N15" s="8"/>
      <c r="O15" s="8"/>
      <c r="P15" s="8"/>
    </row>
    <row r="16" customFormat="false" ht="35.05" hidden="false" customHeight="false" outlineLevel="0" collapsed="false">
      <c r="A16" s="7" t="s">
        <v>362</v>
      </c>
      <c r="B16" s="7" t="s">
        <v>363</v>
      </c>
      <c r="C16" s="7" t="s">
        <v>350</v>
      </c>
      <c r="D16" s="7" t="s">
        <v>351</v>
      </c>
      <c r="E16" s="7" t="s">
        <v>344</v>
      </c>
      <c r="F16" s="7" t="s">
        <v>325</v>
      </c>
      <c r="G16" s="7" t="s">
        <v>326</v>
      </c>
      <c r="H16" s="7" t="s">
        <v>327</v>
      </c>
      <c r="I16" s="7"/>
      <c r="J16" s="8" t="s">
        <v>47</v>
      </c>
      <c r="K16" s="8"/>
      <c r="L16" s="8"/>
      <c r="M16" s="8"/>
      <c r="N16" s="8"/>
      <c r="O16" s="8"/>
      <c r="P16" s="8"/>
    </row>
    <row r="17" customFormat="false" ht="35.05" hidden="false" customHeight="false" outlineLevel="0" collapsed="false">
      <c r="A17" s="7" t="s">
        <v>364</v>
      </c>
      <c r="B17" s="7" t="s">
        <v>363</v>
      </c>
      <c r="C17" s="7" t="s">
        <v>350</v>
      </c>
      <c r="D17" s="7" t="s">
        <v>351</v>
      </c>
      <c r="E17" s="7" t="s">
        <v>344</v>
      </c>
      <c r="F17" s="7" t="s">
        <v>325</v>
      </c>
      <c r="G17" s="7" t="s">
        <v>327</v>
      </c>
      <c r="H17" s="7" t="s">
        <v>327</v>
      </c>
      <c r="I17" s="7" t="s">
        <v>365</v>
      </c>
      <c r="J17" s="8" t="s">
        <v>47</v>
      </c>
      <c r="K17" s="8"/>
      <c r="L17" s="8"/>
      <c r="M17" s="8"/>
      <c r="N17" s="8"/>
      <c r="O17" s="8"/>
      <c r="P17" s="8"/>
    </row>
    <row r="18" customFormat="false" ht="35.05" hidden="false" customHeight="false" outlineLevel="0" collapsed="false">
      <c r="A18" s="7" t="s">
        <v>366</v>
      </c>
      <c r="B18" s="7" t="s">
        <v>367</v>
      </c>
      <c r="C18" s="7" t="s">
        <v>350</v>
      </c>
      <c r="D18" s="7" t="s">
        <v>351</v>
      </c>
      <c r="E18" s="7" t="s">
        <v>344</v>
      </c>
      <c r="F18" s="7" t="s">
        <v>325</v>
      </c>
      <c r="G18" s="7" t="s">
        <v>326</v>
      </c>
      <c r="H18" s="7" t="s">
        <v>327</v>
      </c>
      <c r="I18" s="7"/>
      <c r="J18" s="8" t="s">
        <v>47</v>
      </c>
      <c r="K18" s="8"/>
      <c r="L18" s="8"/>
      <c r="M18" s="8"/>
      <c r="N18" s="8"/>
      <c r="O18" s="8"/>
      <c r="P18" s="8"/>
    </row>
    <row r="19" customFormat="false" ht="35.05" hidden="false" customHeight="false" outlineLevel="0" collapsed="false">
      <c r="A19" s="7" t="s">
        <v>368</v>
      </c>
      <c r="B19" s="7" t="s">
        <v>369</v>
      </c>
      <c r="C19" s="7" t="s">
        <v>350</v>
      </c>
      <c r="D19" s="7" t="s">
        <v>351</v>
      </c>
      <c r="E19" s="7" t="s">
        <v>344</v>
      </c>
      <c r="F19" s="7" t="s">
        <v>325</v>
      </c>
      <c r="G19" s="7" t="s">
        <v>326</v>
      </c>
      <c r="H19" s="7" t="s">
        <v>327</v>
      </c>
      <c r="I19" s="7"/>
      <c r="J19" s="8" t="s">
        <v>47</v>
      </c>
      <c r="K19" s="8"/>
      <c r="L19" s="8"/>
      <c r="M19" s="8"/>
      <c r="N19" s="8"/>
      <c r="O19" s="8"/>
      <c r="P19" s="8"/>
    </row>
    <row r="20" customFormat="false" ht="23.85" hidden="false" customHeight="false" outlineLevel="0" collapsed="false">
      <c r="A20" s="7" t="s">
        <v>370</v>
      </c>
      <c r="B20" s="7" t="s">
        <v>371</v>
      </c>
      <c r="C20" s="7" t="s">
        <v>350</v>
      </c>
      <c r="D20" s="7" t="s">
        <v>351</v>
      </c>
      <c r="E20" s="7" t="s">
        <v>344</v>
      </c>
      <c r="F20" s="7" t="s">
        <v>325</v>
      </c>
      <c r="G20" s="7" t="s">
        <v>326</v>
      </c>
      <c r="H20" s="7" t="s">
        <v>327</v>
      </c>
      <c r="I20" s="7"/>
      <c r="J20" s="8" t="s">
        <v>47</v>
      </c>
      <c r="K20" s="8"/>
      <c r="L20" s="8"/>
      <c r="M20" s="8"/>
      <c r="N20" s="8"/>
      <c r="O20" s="8"/>
      <c r="P20" s="8"/>
    </row>
    <row r="21" customFormat="false" ht="35.05" hidden="false" customHeight="false" outlineLevel="0" collapsed="false">
      <c r="A21" s="7" t="s">
        <v>372</v>
      </c>
      <c r="B21" s="7" t="s">
        <v>373</v>
      </c>
      <c r="C21" s="7" t="s">
        <v>350</v>
      </c>
      <c r="D21" s="7" t="s">
        <v>351</v>
      </c>
      <c r="E21" s="7" t="s">
        <v>344</v>
      </c>
      <c r="F21" s="7" t="s">
        <v>325</v>
      </c>
      <c r="G21" s="7" t="s">
        <v>326</v>
      </c>
      <c r="H21" s="7" t="s">
        <v>327</v>
      </c>
      <c r="I21" s="7"/>
      <c r="J21" s="8" t="s">
        <v>47</v>
      </c>
      <c r="K21" s="8"/>
      <c r="L21" s="8"/>
      <c r="M21" s="8"/>
      <c r="N21" s="8"/>
      <c r="O21" s="8"/>
      <c r="P21" s="8"/>
    </row>
    <row r="22" customFormat="false" ht="23.85" hidden="false" customHeight="false" outlineLevel="0" collapsed="false">
      <c r="A22" s="7" t="s">
        <v>374</v>
      </c>
      <c r="B22" s="7" t="s">
        <v>375</v>
      </c>
      <c r="C22" s="7" t="s">
        <v>350</v>
      </c>
      <c r="D22" s="7" t="s">
        <v>351</v>
      </c>
      <c r="E22" s="7" t="s">
        <v>344</v>
      </c>
      <c r="F22" s="7" t="s">
        <v>325</v>
      </c>
      <c r="G22" s="7" t="s">
        <v>326</v>
      </c>
      <c r="H22" s="7" t="s">
        <v>327</v>
      </c>
      <c r="I22" s="7"/>
      <c r="J22" s="8" t="s">
        <v>47</v>
      </c>
      <c r="K22" s="8"/>
      <c r="L22" s="8"/>
      <c r="M22" s="8"/>
      <c r="N22" s="8"/>
      <c r="O22" s="8"/>
      <c r="P22" s="8"/>
    </row>
    <row r="23" customFormat="false" ht="23.85" hidden="false" customHeight="false" outlineLevel="0" collapsed="false">
      <c r="A23" s="7" t="s">
        <v>376</v>
      </c>
      <c r="B23" s="7" t="s">
        <v>377</v>
      </c>
      <c r="C23" s="7" t="s">
        <v>350</v>
      </c>
      <c r="D23" s="7" t="s">
        <v>351</v>
      </c>
      <c r="E23" s="7" t="s">
        <v>344</v>
      </c>
      <c r="F23" s="7" t="s">
        <v>325</v>
      </c>
      <c r="G23" s="7" t="s">
        <v>326</v>
      </c>
      <c r="H23" s="7" t="s">
        <v>327</v>
      </c>
      <c r="I23" s="7"/>
      <c r="J23" s="8" t="s">
        <v>47</v>
      </c>
      <c r="K23" s="8"/>
      <c r="L23" s="8"/>
      <c r="M23" s="8"/>
      <c r="N23" s="8"/>
      <c r="O23" s="8"/>
      <c r="P23" s="8"/>
    </row>
    <row r="24" customFormat="false" ht="35.05" hidden="false" customHeight="false" outlineLevel="0" collapsed="false">
      <c r="A24" s="7" t="s">
        <v>378</v>
      </c>
      <c r="B24" s="7" t="s">
        <v>379</v>
      </c>
      <c r="C24" s="7" t="s">
        <v>350</v>
      </c>
      <c r="D24" s="7" t="s">
        <v>351</v>
      </c>
      <c r="E24" s="7" t="s">
        <v>344</v>
      </c>
      <c r="F24" s="7" t="s">
        <v>325</v>
      </c>
      <c r="G24" s="7" t="s">
        <v>326</v>
      </c>
      <c r="H24" s="7" t="s">
        <v>327</v>
      </c>
      <c r="I24" s="7"/>
      <c r="J24" s="8" t="s">
        <v>47</v>
      </c>
      <c r="K24" s="8"/>
      <c r="L24" s="8"/>
      <c r="M24" s="8"/>
      <c r="N24" s="8"/>
      <c r="O24" s="8"/>
      <c r="P24" s="8"/>
    </row>
    <row r="25" customFormat="false" ht="35.05" hidden="false" customHeight="false" outlineLevel="0" collapsed="false">
      <c r="A25" s="7" t="s">
        <v>380</v>
      </c>
      <c r="B25" s="7" t="s">
        <v>381</v>
      </c>
      <c r="C25" s="7" t="s">
        <v>350</v>
      </c>
      <c r="D25" s="7" t="s">
        <v>351</v>
      </c>
      <c r="E25" s="7" t="s">
        <v>344</v>
      </c>
      <c r="F25" s="7" t="s">
        <v>325</v>
      </c>
      <c r="G25" s="7" t="s">
        <v>326</v>
      </c>
      <c r="H25" s="7" t="s">
        <v>327</v>
      </c>
      <c r="I25" s="7"/>
      <c r="J25" s="8" t="s">
        <v>47</v>
      </c>
      <c r="K25" s="8"/>
      <c r="L25" s="8"/>
      <c r="M25" s="8"/>
      <c r="N25" s="8"/>
      <c r="O25" s="8"/>
      <c r="P25" s="8"/>
    </row>
    <row r="26" customFormat="false" ht="23.85" hidden="false" customHeight="false" outlineLevel="0" collapsed="false">
      <c r="A26" s="7" t="s">
        <v>382</v>
      </c>
      <c r="B26" s="7" t="s">
        <v>383</v>
      </c>
      <c r="C26" s="7" t="s">
        <v>350</v>
      </c>
      <c r="D26" s="7" t="s">
        <v>351</v>
      </c>
      <c r="E26" s="7" t="s">
        <v>344</v>
      </c>
      <c r="F26" s="7" t="s">
        <v>325</v>
      </c>
      <c r="G26" s="7" t="s">
        <v>326</v>
      </c>
      <c r="H26" s="7" t="s">
        <v>327</v>
      </c>
      <c r="I26" s="7"/>
      <c r="J26" s="8" t="s">
        <v>47</v>
      </c>
      <c r="K26" s="8"/>
      <c r="L26" s="8"/>
      <c r="M26" s="8"/>
      <c r="N26" s="8"/>
      <c r="O26" s="8"/>
      <c r="P26" s="8"/>
    </row>
    <row r="27" customFormat="false" ht="35.05" hidden="false" customHeight="false" outlineLevel="0" collapsed="false">
      <c r="A27" s="7" t="s">
        <v>384</v>
      </c>
      <c r="B27" s="7" t="s">
        <v>385</v>
      </c>
      <c r="C27" s="7" t="s">
        <v>350</v>
      </c>
      <c r="D27" s="7" t="s">
        <v>351</v>
      </c>
      <c r="E27" s="7" t="s">
        <v>344</v>
      </c>
      <c r="F27" s="7" t="s">
        <v>325</v>
      </c>
      <c r="G27" s="7" t="s">
        <v>326</v>
      </c>
      <c r="H27" s="7" t="s">
        <v>327</v>
      </c>
      <c r="I27" s="7"/>
      <c r="J27" s="8" t="s">
        <v>47</v>
      </c>
      <c r="K27" s="8"/>
      <c r="L27" s="8"/>
      <c r="M27" s="8"/>
      <c r="N27" s="8"/>
      <c r="O27" s="8"/>
      <c r="P27" s="8"/>
    </row>
    <row r="28" customFormat="false" ht="23.85" hidden="false" customHeight="false" outlineLevel="0" collapsed="false">
      <c r="A28" s="7" t="s">
        <v>386</v>
      </c>
      <c r="B28" s="7" t="s">
        <v>387</v>
      </c>
      <c r="C28" s="7" t="s">
        <v>350</v>
      </c>
      <c r="D28" s="7" t="s">
        <v>351</v>
      </c>
      <c r="E28" s="7" t="s">
        <v>344</v>
      </c>
      <c r="F28" s="7" t="s">
        <v>325</v>
      </c>
      <c r="G28" s="7" t="s">
        <v>326</v>
      </c>
      <c r="H28" s="7" t="s">
        <v>327</v>
      </c>
      <c r="I28" s="7"/>
      <c r="J28" s="8" t="s">
        <v>47</v>
      </c>
      <c r="K28" s="8"/>
      <c r="L28" s="8"/>
      <c r="M28" s="8"/>
      <c r="N28" s="8"/>
      <c r="O28" s="8"/>
      <c r="P28" s="8"/>
    </row>
    <row r="29" customFormat="false" ht="23.85" hidden="false" customHeight="false" outlineLevel="0" collapsed="false">
      <c r="A29" s="7" t="s">
        <v>388</v>
      </c>
      <c r="B29" s="7" t="s">
        <v>389</v>
      </c>
      <c r="C29" s="7" t="s">
        <v>350</v>
      </c>
      <c r="D29" s="7" t="s">
        <v>351</v>
      </c>
      <c r="E29" s="7" t="s">
        <v>344</v>
      </c>
      <c r="F29" s="7" t="s">
        <v>325</v>
      </c>
      <c r="G29" s="7" t="s">
        <v>326</v>
      </c>
      <c r="H29" s="7" t="s">
        <v>327</v>
      </c>
      <c r="I29" s="7"/>
      <c r="J29" s="8" t="s">
        <v>47</v>
      </c>
      <c r="K29" s="8"/>
      <c r="L29" s="8"/>
      <c r="M29" s="8"/>
      <c r="N29" s="8"/>
      <c r="O29" s="8"/>
      <c r="P29" s="8"/>
    </row>
    <row r="30" customFormat="false" ht="35.05" hidden="false" customHeight="false" outlineLevel="0" collapsed="false">
      <c r="A30" s="7" t="s">
        <v>390</v>
      </c>
      <c r="B30" s="7" t="s">
        <v>391</v>
      </c>
      <c r="C30" s="7" t="s">
        <v>350</v>
      </c>
      <c r="D30" s="7" t="s">
        <v>351</v>
      </c>
      <c r="E30" s="7" t="s">
        <v>344</v>
      </c>
      <c r="F30" s="7" t="s">
        <v>325</v>
      </c>
      <c r="G30" s="7" t="s">
        <v>326</v>
      </c>
      <c r="H30" s="7" t="s">
        <v>327</v>
      </c>
      <c r="I30" s="7"/>
      <c r="J30" s="8" t="s">
        <v>47</v>
      </c>
      <c r="K30" s="8"/>
      <c r="L30" s="8"/>
      <c r="M30" s="8"/>
      <c r="N30" s="8"/>
      <c r="O30" s="8"/>
      <c r="P30" s="8"/>
    </row>
    <row r="31" customFormat="false" ht="23.85" hidden="false" customHeight="false" outlineLevel="0" collapsed="false">
      <c r="A31" s="7" t="s">
        <v>392</v>
      </c>
      <c r="B31" s="7" t="s">
        <v>393</v>
      </c>
      <c r="C31" s="7" t="s">
        <v>350</v>
      </c>
      <c r="D31" s="7" t="s">
        <v>351</v>
      </c>
      <c r="E31" s="7" t="s">
        <v>344</v>
      </c>
      <c r="F31" s="7" t="s">
        <v>325</v>
      </c>
      <c r="G31" s="7" t="s">
        <v>326</v>
      </c>
      <c r="H31" s="7" t="s">
        <v>327</v>
      </c>
      <c r="I31" s="7"/>
      <c r="J31" s="8" t="s">
        <v>47</v>
      </c>
      <c r="K31" s="8"/>
      <c r="L31" s="8"/>
      <c r="M31" s="8"/>
      <c r="N31" s="8"/>
      <c r="O31" s="8"/>
      <c r="P31" s="8"/>
    </row>
    <row r="32" customFormat="false" ht="35.05" hidden="false" customHeight="false" outlineLevel="0" collapsed="false">
      <c r="A32" s="7" t="s">
        <v>394</v>
      </c>
      <c r="B32" s="7" t="s">
        <v>395</v>
      </c>
      <c r="C32" s="7" t="s">
        <v>350</v>
      </c>
      <c r="D32" s="7" t="s">
        <v>351</v>
      </c>
      <c r="E32" s="7" t="s">
        <v>344</v>
      </c>
      <c r="F32" s="7" t="s">
        <v>325</v>
      </c>
      <c r="G32" s="7" t="s">
        <v>326</v>
      </c>
      <c r="H32" s="7" t="s">
        <v>327</v>
      </c>
      <c r="I32" s="7"/>
      <c r="J32" s="8" t="s">
        <v>47</v>
      </c>
      <c r="K32" s="8"/>
      <c r="L32" s="8"/>
      <c r="M32" s="8"/>
      <c r="N32" s="8"/>
      <c r="O32" s="8"/>
      <c r="P32" s="8"/>
    </row>
    <row r="33" customFormat="false" ht="35.05" hidden="false" customHeight="false" outlineLevel="0" collapsed="false">
      <c r="A33" s="7" t="s">
        <v>396</v>
      </c>
      <c r="B33" s="7" t="s">
        <v>397</v>
      </c>
      <c r="C33" s="7" t="s">
        <v>350</v>
      </c>
      <c r="D33" s="7" t="s">
        <v>351</v>
      </c>
      <c r="E33" s="7" t="s">
        <v>344</v>
      </c>
      <c r="F33" s="7" t="s">
        <v>325</v>
      </c>
      <c r="G33" s="7" t="s">
        <v>326</v>
      </c>
      <c r="H33" s="7" t="s">
        <v>327</v>
      </c>
      <c r="I33" s="7"/>
      <c r="J33" s="8" t="s">
        <v>47</v>
      </c>
      <c r="K33" s="8"/>
      <c r="L33" s="8"/>
      <c r="M33" s="8"/>
      <c r="N33" s="8"/>
      <c r="O33" s="8"/>
      <c r="P33" s="8"/>
    </row>
    <row r="34" customFormat="false" ht="35.05" hidden="false" customHeight="false" outlineLevel="0" collapsed="false">
      <c r="A34" s="7" t="s">
        <v>398</v>
      </c>
      <c r="B34" s="7" t="s">
        <v>399</v>
      </c>
      <c r="C34" s="7" t="s">
        <v>350</v>
      </c>
      <c r="D34" s="7" t="s">
        <v>351</v>
      </c>
      <c r="E34" s="7" t="s">
        <v>344</v>
      </c>
      <c r="F34" s="7" t="s">
        <v>325</v>
      </c>
      <c r="G34" s="7" t="s">
        <v>326</v>
      </c>
      <c r="H34" s="7" t="s">
        <v>327</v>
      </c>
      <c r="I34" s="7"/>
      <c r="J34" s="8" t="s">
        <v>47</v>
      </c>
      <c r="K34" s="8"/>
      <c r="L34" s="8"/>
      <c r="M34" s="8"/>
      <c r="N34" s="8"/>
      <c r="O34" s="8"/>
      <c r="P34" s="8"/>
    </row>
    <row r="35" customFormat="false" ht="23.85" hidden="false" customHeight="false" outlineLevel="0" collapsed="false">
      <c r="A35" s="7" t="s">
        <v>400</v>
      </c>
      <c r="B35" s="7" t="s">
        <v>401</v>
      </c>
      <c r="C35" s="7" t="s">
        <v>350</v>
      </c>
      <c r="D35" s="7" t="s">
        <v>351</v>
      </c>
      <c r="E35" s="7" t="s">
        <v>344</v>
      </c>
      <c r="F35" s="7" t="s">
        <v>325</v>
      </c>
      <c r="G35" s="7" t="s">
        <v>326</v>
      </c>
      <c r="H35" s="7" t="s">
        <v>327</v>
      </c>
      <c r="I35" s="7"/>
      <c r="J35" s="8" t="s">
        <v>47</v>
      </c>
      <c r="K35" s="8"/>
      <c r="L35" s="8"/>
      <c r="M35" s="8"/>
      <c r="N35" s="8"/>
      <c r="O35" s="8"/>
      <c r="P35" s="8"/>
    </row>
    <row r="36" customFormat="false" ht="23.85" hidden="false" customHeight="false" outlineLevel="0" collapsed="false">
      <c r="A36" s="7" t="s">
        <v>402</v>
      </c>
      <c r="B36" s="7" t="s">
        <v>403</v>
      </c>
      <c r="C36" s="7" t="s">
        <v>350</v>
      </c>
      <c r="D36" s="7" t="s">
        <v>351</v>
      </c>
      <c r="E36" s="7" t="s">
        <v>344</v>
      </c>
      <c r="F36" s="7" t="s">
        <v>325</v>
      </c>
      <c r="G36" s="7" t="s">
        <v>326</v>
      </c>
      <c r="H36" s="7" t="s">
        <v>327</v>
      </c>
      <c r="I36" s="7"/>
      <c r="J36" s="8" t="s">
        <v>47</v>
      </c>
      <c r="K36" s="8"/>
      <c r="L36" s="8"/>
      <c r="M36" s="8"/>
      <c r="N36" s="8"/>
      <c r="O36" s="8"/>
      <c r="P36" s="8"/>
    </row>
    <row r="37" customFormat="false" ht="23.85" hidden="false" customHeight="false" outlineLevel="0" collapsed="false">
      <c r="A37" s="7" t="s">
        <v>404</v>
      </c>
      <c r="B37" s="7" t="s">
        <v>405</v>
      </c>
      <c r="C37" s="7" t="s">
        <v>350</v>
      </c>
      <c r="D37" s="7" t="s">
        <v>351</v>
      </c>
      <c r="E37" s="7" t="s">
        <v>344</v>
      </c>
      <c r="F37" s="7" t="s">
        <v>325</v>
      </c>
      <c r="G37" s="7" t="s">
        <v>326</v>
      </c>
      <c r="H37" s="7" t="s">
        <v>327</v>
      </c>
      <c r="I37" s="7"/>
      <c r="J37" s="8" t="s">
        <v>47</v>
      </c>
      <c r="K37" s="8"/>
      <c r="L37" s="8"/>
      <c r="M37" s="8"/>
      <c r="N37" s="8"/>
      <c r="O37" s="8"/>
      <c r="P37" s="8"/>
    </row>
    <row r="38" customFormat="false" ht="35.05" hidden="false" customHeight="false" outlineLevel="0" collapsed="false">
      <c r="A38" s="7" t="s">
        <v>406</v>
      </c>
      <c r="B38" s="7" t="s">
        <v>407</v>
      </c>
      <c r="C38" s="7" t="s">
        <v>350</v>
      </c>
      <c r="D38" s="7" t="s">
        <v>351</v>
      </c>
      <c r="E38" s="7" t="s">
        <v>344</v>
      </c>
      <c r="F38" s="7" t="s">
        <v>325</v>
      </c>
      <c r="G38" s="7" t="s">
        <v>326</v>
      </c>
      <c r="H38" s="7" t="s">
        <v>327</v>
      </c>
      <c r="I38" s="7"/>
      <c r="J38" s="8" t="s">
        <v>47</v>
      </c>
      <c r="K38" s="8"/>
      <c r="L38" s="8"/>
      <c r="M38" s="8"/>
      <c r="N38" s="8"/>
      <c r="O38" s="8"/>
      <c r="P38" s="8"/>
    </row>
    <row r="39" customFormat="false" ht="35.05" hidden="false" customHeight="false" outlineLevel="0" collapsed="false">
      <c r="A39" s="7" t="s">
        <v>408</v>
      </c>
      <c r="B39" s="7" t="s">
        <v>407</v>
      </c>
      <c r="C39" s="7" t="s">
        <v>350</v>
      </c>
      <c r="D39" s="7" t="s">
        <v>351</v>
      </c>
      <c r="E39" s="7" t="s">
        <v>344</v>
      </c>
      <c r="F39" s="7" t="s">
        <v>325</v>
      </c>
      <c r="G39" s="7" t="s">
        <v>327</v>
      </c>
      <c r="H39" s="7" t="s">
        <v>327</v>
      </c>
      <c r="I39" s="7" t="s">
        <v>365</v>
      </c>
      <c r="J39" s="8" t="s">
        <v>47</v>
      </c>
      <c r="K39" s="8"/>
      <c r="L39" s="8"/>
      <c r="M39" s="8"/>
      <c r="N39" s="8"/>
      <c r="O39" s="8"/>
      <c r="P39" s="8"/>
    </row>
    <row r="40" customFormat="false" ht="23.85" hidden="false" customHeight="false" outlineLevel="0" collapsed="false">
      <c r="A40" s="7" t="s">
        <v>409</v>
      </c>
      <c r="B40" s="7" t="s">
        <v>410</v>
      </c>
      <c r="C40" s="7" t="s">
        <v>350</v>
      </c>
      <c r="D40" s="7" t="s">
        <v>351</v>
      </c>
      <c r="E40" s="7" t="s">
        <v>344</v>
      </c>
      <c r="F40" s="7" t="s">
        <v>325</v>
      </c>
      <c r="G40" s="7" t="s">
        <v>326</v>
      </c>
      <c r="H40" s="7" t="s">
        <v>327</v>
      </c>
      <c r="I40" s="7"/>
      <c r="J40" s="8" t="s">
        <v>47</v>
      </c>
      <c r="K40" s="8"/>
      <c r="L40" s="8"/>
      <c r="M40" s="8"/>
      <c r="N40" s="8"/>
      <c r="O40" s="8"/>
      <c r="P40" s="8"/>
    </row>
    <row r="41" customFormat="false" ht="35.05" hidden="false" customHeight="false" outlineLevel="0" collapsed="false">
      <c r="A41" s="7" t="s">
        <v>411</v>
      </c>
      <c r="B41" s="7" t="s">
        <v>412</v>
      </c>
      <c r="C41" s="7" t="s">
        <v>350</v>
      </c>
      <c r="D41" s="7" t="s">
        <v>351</v>
      </c>
      <c r="E41" s="7" t="s">
        <v>344</v>
      </c>
      <c r="F41" s="7" t="s">
        <v>325</v>
      </c>
      <c r="G41" s="7" t="s">
        <v>326</v>
      </c>
      <c r="H41" s="7" t="s">
        <v>327</v>
      </c>
      <c r="I41" s="7"/>
      <c r="J41" s="8" t="s">
        <v>47</v>
      </c>
      <c r="K41" s="8"/>
      <c r="L41" s="8"/>
      <c r="M41" s="8"/>
      <c r="N41" s="8"/>
      <c r="O41" s="8"/>
      <c r="P41" s="8"/>
    </row>
    <row r="42" customFormat="false" ht="35.05" hidden="false" customHeight="false" outlineLevel="0" collapsed="false">
      <c r="A42" s="7" t="s">
        <v>413</v>
      </c>
      <c r="B42" s="7" t="s">
        <v>414</v>
      </c>
      <c r="C42" s="7" t="s">
        <v>350</v>
      </c>
      <c r="D42" s="7" t="s">
        <v>351</v>
      </c>
      <c r="E42" s="7" t="s">
        <v>344</v>
      </c>
      <c r="F42" s="7" t="s">
        <v>325</v>
      </c>
      <c r="G42" s="7" t="s">
        <v>326</v>
      </c>
      <c r="H42" s="7" t="s">
        <v>327</v>
      </c>
      <c r="I42" s="7"/>
      <c r="J42" s="8" t="s">
        <v>47</v>
      </c>
      <c r="K42" s="8"/>
      <c r="L42" s="8"/>
      <c r="M42" s="8"/>
      <c r="N42" s="8"/>
      <c r="O42" s="8"/>
      <c r="P42" s="8"/>
    </row>
    <row r="43" customFormat="false" ht="35.05" hidden="false" customHeight="false" outlineLevel="0" collapsed="false">
      <c r="A43" s="7" t="s">
        <v>415</v>
      </c>
      <c r="B43" s="7" t="s">
        <v>416</v>
      </c>
      <c r="C43" s="7" t="s">
        <v>350</v>
      </c>
      <c r="D43" s="7" t="s">
        <v>351</v>
      </c>
      <c r="E43" s="7" t="s">
        <v>344</v>
      </c>
      <c r="F43" s="7" t="s">
        <v>325</v>
      </c>
      <c r="G43" s="7" t="s">
        <v>326</v>
      </c>
      <c r="H43" s="7" t="s">
        <v>327</v>
      </c>
      <c r="I43" s="7"/>
      <c r="J43" s="8" t="s">
        <v>47</v>
      </c>
      <c r="K43" s="8"/>
      <c r="L43" s="8"/>
      <c r="M43" s="8"/>
      <c r="N43" s="8"/>
      <c r="O43" s="8"/>
      <c r="P43" s="8"/>
    </row>
    <row r="44" customFormat="false" ht="23.85" hidden="false" customHeight="false" outlineLevel="0" collapsed="false">
      <c r="A44" s="7" t="s">
        <v>417</v>
      </c>
      <c r="B44" s="7" t="s">
        <v>418</v>
      </c>
      <c r="C44" s="7" t="s">
        <v>350</v>
      </c>
      <c r="D44" s="7" t="s">
        <v>351</v>
      </c>
      <c r="E44" s="7" t="s">
        <v>344</v>
      </c>
      <c r="F44" s="7" t="s">
        <v>325</v>
      </c>
      <c r="G44" s="7" t="s">
        <v>326</v>
      </c>
      <c r="H44" s="7" t="s">
        <v>327</v>
      </c>
      <c r="I44" s="7"/>
      <c r="J44" s="8" t="s">
        <v>47</v>
      </c>
      <c r="K44" s="8"/>
      <c r="L44" s="8"/>
      <c r="M44" s="8"/>
      <c r="N44" s="8"/>
      <c r="O44" s="8"/>
      <c r="P44" s="8"/>
    </row>
    <row r="45" customFormat="false" ht="23.85" hidden="false" customHeight="false" outlineLevel="0" collapsed="false">
      <c r="A45" s="7" t="s">
        <v>419</v>
      </c>
      <c r="B45" s="7" t="s">
        <v>420</v>
      </c>
      <c r="C45" s="7" t="s">
        <v>350</v>
      </c>
      <c r="D45" s="7" t="s">
        <v>351</v>
      </c>
      <c r="E45" s="7" t="s">
        <v>344</v>
      </c>
      <c r="F45" s="7" t="s">
        <v>325</v>
      </c>
      <c r="G45" s="7" t="s">
        <v>326</v>
      </c>
      <c r="H45" s="7" t="s">
        <v>327</v>
      </c>
      <c r="I45" s="7"/>
      <c r="J45" s="8" t="s">
        <v>47</v>
      </c>
      <c r="K45" s="8"/>
      <c r="L45" s="8"/>
      <c r="M45" s="8"/>
      <c r="N45" s="8"/>
      <c r="O45" s="8"/>
      <c r="P45" s="8"/>
    </row>
    <row r="46" customFormat="false" ht="23.85" hidden="false" customHeight="false" outlineLevel="0" collapsed="false">
      <c r="A46" s="7" t="s">
        <v>421</v>
      </c>
      <c r="B46" s="7" t="s">
        <v>422</v>
      </c>
      <c r="C46" s="7" t="s">
        <v>350</v>
      </c>
      <c r="D46" s="7" t="s">
        <v>351</v>
      </c>
      <c r="E46" s="7" t="s">
        <v>344</v>
      </c>
      <c r="F46" s="7" t="s">
        <v>325</v>
      </c>
      <c r="G46" s="7" t="s">
        <v>326</v>
      </c>
      <c r="H46" s="7" t="s">
        <v>327</v>
      </c>
      <c r="I46" s="7"/>
      <c r="J46" s="8" t="s">
        <v>47</v>
      </c>
      <c r="K46" s="8"/>
      <c r="L46" s="8"/>
      <c r="M46" s="8"/>
      <c r="N46" s="8"/>
      <c r="O46" s="8"/>
      <c r="P46" s="8"/>
    </row>
    <row r="47" customFormat="false" ht="23.85" hidden="false" customHeight="false" outlineLevel="0" collapsed="false">
      <c r="A47" s="7" t="s">
        <v>423</v>
      </c>
      <c r="B47" s="7" t="s">
        <v>424</v>
      </c>
      <c r="C47" s="7" t="s">
        <v>350</v>
      </c>
      <c r="D47" s="7" t="s">
        <v>351</v>
      </c>
      <c r="E47" s="7" t="s">
        <v>344</v>
      </c>
      <c r="F47" s="7" t="s">
        <v>325</v>
      </c>
      <c r="G47" s="7" t="s">
        <v>326</v>
      </c>
      <c r="H47" s="7" t="s">
        <v>327</v>
      </c>
      <c r="I47" s="7"/>
      <c r="J47" s="8" t="s">
        <v>47</v>
      </c>
      <c r="K47" s="8"/>
      <c r="L47" s="8"/>
      <c r="M47" s="8"/>
      <c r="N47" s="8"/>
      <c r="O47" s="8"/>
      <c r="P47" s="8"/>
    </row>
    <row r="48" customFormat="false" ht="23.85" hidden="false" customHeight="false" outlineLevel="0" collapsed="false">
      <c r="A48" s="7" t="s">
        <v>425</v>
      </c>
      <c r="B48" s="7" t="s">
        <v>426</v>
      </c>
      <c r="C48" s="7" t="s">
        <v>350</v>
      </c>
      <c r="D48" s="7" t="s">
        <v>351</v>
      </c>
      <c r="E48" s="7" t="s">
        <v>344</v>
      </c>
      <c r="F48" s="7" t="s">
        <v>325</v>
      </c>
      <c r="G48" s="7" t="s">
        <v>326</v>
      </c>
      <c r="H48" s="7" t="s">
        <v>327</v>
      </c>
      <c r="I48" s="7"/>
      <c r="J48" s="8" t="s">
        <v>47</v>
      </c>
      <c r="K48" s="8"/>
      <c r="L48" s="8"/>
      <c r="M48" s="8"/>
      <c r="N48" s="8"/>
      <c r="O48" s="8"/>
      <c r="P48" s="8"/>
    </row>
    <row r="49" customFormat="false" ht="23.85" hidden="false" customHeight="false" outlineLevel="0" collapsed="false">
      <c r="A49" s="7" t="s">
        <v>427</v>
      </c>
      <c r="B49" s="7" t="s">
        <v>428</v>
      </c>
      <c r="C49" s="7" t="s">
        <v>350</v>
      </c>
      <c r="D49" s="7" t="s">
        <v>351</v>
      </c>
      <c r="E49" s="7" t="s">
        <v>344</v>
      </c>
      <c r="F49" s="7" t="s">
        <v>325</v>
      </c>
      <c r="G49" s="7" t="s">
        <v>326</v>
      </c>
      <c r="H49" s="7" t="s">
        <v>327</v>
      </c>
      <c r="I49" s="7"/>
      <c r="J49" s="8" t="s">
        <v>47</v>
      </c>
      <c r="K49" s="8"/>
      <c r="L49" s="8"/>
      <c r="M49" s="8"/>
      <c r="N49" s="8"/>
      <c r="O49" s="8"/>
      <c r="P49" s="8"/>
    </row>
    <row r="50" customFormat="false" ht="23.85" hidden="false" customHeight="false" outlineLevel="0" collapsed="false">
      <c r="A50" s="7" t="s">
        <v>429</v>
      </c>
      <c r="B50" s="7" t="s">
        <v>430</v>
      </c>
      <c r="C50" s="7" t="s">
        <v>331</v>
      </c>
      <c r="D50" s="7" t="s">
        <v>323</v>
      </c>
      <c r="E50" s="7" t="s">
        <v>431</v>
      </c>
      <c r="F50" s="7" t="s">
        <v>431</v>
      </c>
      <c r="G50" s="7" t="s">
        <v>326</v>
      </c>
      <c r="H50" s="7" t="s">
        <v>327</v>
      </c>
      <c r="I50" s="7"/>
      <c r="J50" s="8" t="s">
        <v>47</v>
      </c>
      <c r="K50" s="8"/>
      <c r="L50" s="8"/>
      <c r="M50" s="8"/>
      <c r="N50" s="8"/>
      <c r="O50" s="8"/>
      <c r="P50" s="8"/>
    </row>
    <row r="51" customFormat="false" ht="23.85" hidden="false" customHeight="false" outlineLevel="0" collapsed="false">
      <c r="A51" s="7" t="s">
        <v>432</v>
      </c>
      <c r="B51" s="7" t="s">
        <v>433</v>
      </c>
      <c r="C51" s="7" t="s">
        <v>322</v>
      </c>
      <c r="D51" s="7" t="s">
        <v>323</v>
      </c>
      <c r="E51" s="7" t="s">
        <v>332</v>
      </c>
      <c r="F51" s="7" t="s">
        <v>325</v>
      </c>
      <c r="G51" s="7" t="s">
        <v>326</v>
      </c>
      <c r="H51" s="7" t="s">
        <v>326</v>
      </c>
      <c r="I51" s="7"/>
      <c r="J51" s="8" t="s">
        <v>47</v>
      </c>
      <c r="K51" s="8"/>
      <c r="L51" s="8"/>
      <c r="M51" s="8"/>
      <c r="N51" s="8"/>
      <c r="O51" s="8"/>
      <c r="P51" s="8"/>
    </row>
    <row r="52" customFormat="false" ht="23.85" hidden="false" customHeight="false" outlineLevel="0" collapsed="false">
      <c r="A52" s="7" t="s">
        <v>434</v>
      </c>
      <c r="B52" s="7" t="s">
        <v>435</v>
      </c>
      <c r="C52" s="7" t="s">
        <v>322</v>
      </c>
      <c r="D52" s="7" t="s">
        <v>323</v>
      </c>
      <c r="E52" s="7" t="s">
        <v>332</v>
      </c>
      <c r="F52" s="7" t="s">
        <v>325</v>
      </c>
      <c r="G52" s="7" t="s">
        <v>326</v>
      </c>
      <c r="H52" s="7" t="s">
        <v>326</v>
      </c>
      <c r="I52" s="7"/>
      <c r="J52" s="8" t="s">
        <v>47</v>
      </c>
      <c r="K52" s="8"/>
      <c r="L52" s="8"/>
      <c r="M52" s="8"/>
      <c r="N52" s="8"/>
      <c r="O52" s="8"/>
      <c r="P52" s="8"/>
    </row>
    <row r="53" customFormat="false" ht="23.85" hidden="false" customHeight="false" outlineLevel="0" collapsed="false">
      <c r="A53" s="7" t="s">
        <v>436</v>
      </c>
      <c r="B53" s="7" t="s">
        <v>437</v>
      </c>
      <c r="C53" s="7" t="s">
        <v>438</v>
      </c>
      <c r="D53" s="7" t="s">
        <v>351</v>
      </c>
      <c r="E53" s="7" t="s">
        <v>344</v>
      </c>
      <c r="F53" s="7" t="s">
        <v>325</v>
      </c>
      <c r="G53" s="7" t="s">
        <v>326</v>
      </c>
      <c r="H53" s="7" t="s">
        <v>327</v>
      </c>
      <c r="I53" s="7"/>
      <c r="J53" s="8" t="s">
        <v>47</v>
      </c>
      <c r="K53" s="8"/>
      <c r="L53" s="8"/>
      <c r="M53" s="8"/>
      <c r="N53" s="8"/>
      <c r="O53" s="8"/>
      <c r="P53" s="8"/>
    </row>
    <row r="54" customFormat="false" ht="35.05" hidden="false" customHeight="false" outlineLevel="0" collapsed="false">
      <c r="A54" s="7" t="s">
        <v>439</v>
      </c>
      <c r="B54" s="7" t="s">
        <v>440</v>
      </c>
      <c r="C54" s="7" t="s">
        <v>438</v>
      </c>
      <c r="D54" s="7" t="s">
        <v>351</v>
      </c>
      <c r="E54" s="7" t="s">
        <v>344</v>
      </c>
      <c r="F54" s="7" t="s">
        <v>325</v>
      </c>
      <c r="G54" s="7" t="s">
        <v>326</v>
      </c>
      <c r="H54" s="7" t="s">
        <v>327</v>
      </c>
      <c r="I54" s="7"/>
      <c r="J54" s="8" t="s">
        <v>47</v>
      </c>
      <c r="K54" s="8"/>
      <c r="L54" s="8"/>
      <c r="M54" s="8"/>
      <c r="N54" s="8"/>
      <c r="O54" s="8"/>
      <c r="P54" s="8"/>
    </row>
    <row r="55" customFormat="false" ht="23.85" hidden="false" customHeight="false" outlineLevel="0" collapsed="false">
      <c r="A55" s="7" t="s">
        <v>441</v>
      </c>
      <c r="B55" s="7" t="s">
        <v>442</v>
      </c>
      <c r="C55" s="7" t="s">
        <v>438</v>
      </c>
      <c r="D55" s="7" t="s">
        <v>351</v>
      </c>
      <c r="E55" s="7" t="s">
        <v>344</v>
      </c>
      <c r="F55" s="7" t="s">
        <v>325</v>
      </c>
      <c r="G55" s="7" t="s">
        <v>326</v>
      </c>
      <c r="H55" s="7" t="s">
        <v>327</v>
      </c>
      <c r="I55" s="7"/>
      <c r="J55" s="8" t="s">
        <v>47</v>
      </c>
      <c r="K55" s="8"/>
      <c r="L55" s="8"/>
      <c r="M55" s="8"/>
      <c r="N55" s="8"/>
      <c r="O55" s="8"/>
      <c r="P55" s="8"/>
    </row>
    <row r="56" customFormat="false" ht="23.85" hidden="false" customHeight="false" outlineLevel="0" collapsed="false">
      <c r="A56" s="7" t="s">
        <v>443</v>
      </c>
      <c r="B56" s="7" t="s">
        <v>444</v>
      </c>
      <c r="C56" s="7" t="s">
        <v>322</v>
      </c>
      <c r="D56" s="7" t="s">
        <v>323</v>
      </c>
      <c r="E56" s="7" t="s">
        <v>332</v>
      </c>
      <c r="F56" s="7" t="s">
        <v>325</v>
      </c>
      <c r="G56" s="7" t="s">
        <v>326</v>
      </c>
      <c r="H56" s="7" t="s">
        <v>326</v>
      </c>
      <c r="I56" s="7"/>
      <c r="J56" s="8" t="s">
        <v>47</v>
      </c>
      <c r="K56" s="8"/>
      <c r="L56" s="8"/>
      <c r="M56" s="8"/>
      <c r="N56" s="8"/>
      <c r="O56" s="8"/>
      <c r="P56" s="8"/>
    </row>
    <row r="57" customFormat="false" ht="23.85" hidden="false" customHeight="false" outlineLevel="0" collapsed="false">
      <c r="A57" s="7" t="s">
        <v>445</v>
      </c>
      <c r="B57" s="7" t="s">
        <v>446</v>
      </c>
      <c r="C57" s="7" t="s">
        <v>447</v>
      </c>
      <c r="D57" s="7" t="s">
        <v>448</v>
      </c>
      <c r="E57" s="7" t="s">
        <v>332</v>
      </c>
      <c r="F57" s="7" t="s">
        <v>325</v>
      </c>
      <c r="G57" s="7" t="s">
        <v>326</v>
      </c>
      <c r="H57" s="7" t="s">
        <v>326</v>
      </c>
      <c r="I57" s="7" t="s">
        <v>449</v>
      </c>
      <c r="J57" s="8" t="s">
        <v>47</v>
      </c>
      <c r="K57" s="8"/>
      <c r="L57" s="8"/>
      <c r="M57" s="8"/>
      <c r="N57" s="8"/>
      <c r="O57" s="8"/>
      <c r="P57" s="8"/>
    </row>
    <row r="58" customFormat="false" ht="23.85" hidden="false" customHeight="false" outlineLevel="0" collapsed="false">
      <c r="A58" s="7" t="s">
        <v>450</v>
      </c>
      <c r="B58" s="7" t="s">
        <v>451</v>
      </c>
      <c r="C58" s="7" t="s">
        <v>350</v>
      </c>
      <c r="D58" s="7" t="s">
        <v>351</v>
      </c>
      <c r="E58" s="7" t="s">
        <v>344</v>
      </c>
      <c r="F58" s="7" t="s">
        <v>325</v>
      </c>
      <c r="G58" s="7" t="s">
        <v>326</v>
      </c>
      <c r="H58" s="7" t="s">
        <v>327</v>
      </c>
      <c r="I58" s="7"/>
      <c r="J58" s="8" t="s">
        <v>47</v>
      </c>
      <c r="K58" s="8"/>
      <c r="L58" s="8"/>
      <c r="M58" s="8"/>
      <c r="N58" s="8"/>
      <c r="O58" s="8"/>
      <c r="P58" s="8"/>
    </row>
    <row r="59" customFormat="false" ht="23.85" hidden="false" customHeight="false" outlineLevel="0" collapsed="false">
      <c r="A59" s="7" t="s">
        <v>452</v>
      </c>
      <c r="B59" s="7" t="s">
        <v>453</v>
      </c>
      <c r="C59" s="7" t="s">
        <v>350</v>
      </c>
      <c r="D59" s="7" t="s">
        <v>351</v>
      </c>
      <c r="E59" s="7" t="s">
        <v>324</v>
      </c>
      <c r="F59" s="7" t="s">
        <v>324</v>
      </c>
      <c r="G59" s="7" t="s">
        <v>326</v>
      </c>
      <c r="H59" s="7" t="s">
        <v>327</v>
      </c>
      <c r="I59" s="7"/>
      <c r="J59" s="8" t="s">
        <v>47</v>
      </c>
      <c r="K59" s="8"/>
      <c r="L59" s="8"/>
      <c r="M59" s="8"/>
      <c r="N59" s="8"/>
      <c r="O59" s="8"/>
      <c r="P59" s="8"/>
    </row>
    <row r="60" customFormat="false" ht="23.85" hidden="false" customHeight="false" outlineLevel="0" collapsed="false">
      <c r="A60" s="7" t="s">
        <v>454</v>
      </c>
      <c r="B60" s="7" t="s">
        <v>455</v>
      </c>
      <c r="C60" s="7" t="s">
        <v>350</v>
      </c>
      <c r="D60" s="7" t="s">
        <v>351</v>
      </c>
      <c r="E60" s="7" t="s">
        <v>344</v>
      </c>
      <c r="F60" s="7" t="s">
        <v>325</v>
      </c>
      <c r="G60" s="7" t="s">
        <v>326</v>
      </c>
      <c r="H60" s="7" t="s">
        <v>327</v>
      </c>
      <c r="I60" s="7"/>
      <c r="J60" s="8" t="s">
        <v>47</v>
      </c>
      <c r="K60" s="8"/>
      <c r="L60" s="8"/>
      <c r="M60" s="8"/>
      <c r="N60" s="8"/>
      <c r="O60" s="8"/>
      <c r="P60" s="8"/>
    </row>
    <row r="61" customFormat="false" ht="23.85" hidden="false" customHeight="false" outlineLevel="0" collapsed="false">
      <c r="A61" s="7" t="s">
        <v>456</v>
      </c>
      <c r="B61" s="7" t="s">
        <v>457</v>
      </c>
      <c r="C61" s="7" t="s">
        <v>350</v>
      </c>
      <c r="D61" s="7" t="s">
        <v>351</v>
      </c>
      <c r="E61" s="7" t="s">
        <v>344</v>
      </c>
      <c r="F61" s="7" t="s">
        <v>325</v>
      </c>
      <c r="G61" s="7" t="s">
        <v>326</v>
      </c>
      <c r="H61" s="7" t="s">
        <v>327</v>
      </c>
      <c r="I61" s="7"/>
      <c r="J61" s="8" t="s">
        <v>47</v>
      </c>
      <c r="K61" s="8"/>
      <c r="L61" s="8"/>
      <c r="M61" s="8"/>
      <c r="N61" s="8"/>
      <c r="O61" s="8"/>
      <c r="P61" s="8"/>
    </row>
    <row r="62" customFormat="false" ht="23.85" hidden="false" customHeight="false" outlineLevel="0" collapsed="false">
      <c r="A62" s="7" t="s">
        <v>458</v>
      </c>
      <c r="B62" s="7" t="s">
        <v>459</v>
      </c>
      <c r="C62" s="7" t="s">
        <v>350</v>
      </c>
      <c r="D62" s="7" t="s">
        <v>351</v>
      </c>
      <c r="E62" s="7" t="s">
        <v>344</v>
      </c>
      <c r="F62" s="7" t="s">
        <v>325</v>
      </c>
      <c r="G62" s="7" t="s">
        <v>326</v>
      </c>
      <c r="H62" s="7" t="s">
        <v>327</v>
      </c>
      <c r="I62" s="7"/>
      <c r="J62" s="8" t="s">
        <v>47</v>
      </c>
      <c r="K62" s="8"/>
      <c r="L62" s="8"/>
      <c r="M62" s="8"/>
      <c r="N62" s="8"/>
      <c r="O62" s="8"/>
      <c r="P62" s="8"/>
    </row>
    <row r="63" customFormat="false" ht="35.05" hidden="false" customHeight="false" outlineLevel="0" collapsed="false">
      <c r="A63" s="7" t="s">
        <v>460</v>
      </c>
      <c r="B63" s="7" t="s">
        <v>461</v>
      </c>
      <c r="C63" s="7" t="s">
        <v>350</v>
      </c>
      <c r="D63" s="7" t="s">
        <v>351</v>
      </c>
      <c r="E63" s="7" t="s">
        <v>344</v>
      </c>
      <c r="F63" s="7" t="s">
        <v>325</v>
      </c>
      <c r="G63" s="7" t="s">
        <v>326</v>
      </c>
      <c r="H63" s="7" t="s">
        <v>327</v>
      </c>
      <c r="I63" s="7"/>
      <c r="J63" s="8" t="s">
        <v>47</v>
      </c>
      <c r="K63" s="8"/>
      <c r="L63" s="8"/>
      <c r="M63" s="8"/>
      <c r="N63" s="8"/>
      <c r="O63" s="8"/>
      <c r="P63" s="8"/>
    </row>
    <row r="64" customFormat="false" ht="23.85" hidden="false" customHeight="false" outlineLevel="0" collapsed="false">
      <c r="A64" s="7" t="s">
        <v>462</v>
      </c>
      <c r="B64" s="7" t="s">
        <v>463</v>
      </c>
      <c r="C64" s="7" t="s">
        <v>350</v>
      </c>
      <c r="D64" s="7" t="s">
        <v>351</v>
      </c>
      <c r="E64" s="7" t="s">
        <v>344</v>
      </c>
      <c r="F64" s="7" t="s">
        <v>325</v>
      </c>
      <c r="G64" s="7" t="s">
        <v>326</v>
      </c>
      <c r="H64" s="7" t="s">
        <v>327</v>
      </c>
      <c r="I64" s="7"/>
      <c r="J64" s="8" t="s">
        <v>47</v>
      </c>
      <c r="K64" s="8"/>
      <c r="L64" s="8"/>
      <c r="M64" s="8"/>
      <c r="N64" s="8"/>
      <c r="O64" s="8"/>
      <c r="P64" s="8"/>
    </row>
    <row r="65" customFormat="false" ht="23.85" hidden="false" customHeight="false" outlineLevel="0" collapsed="false">
      <c r="A65" s="7" t="s">
        <v>464</v>
      </c>
      <c r="B65" s="7" t="s">
        <v>465</v>
      </c>
      <c r="C65" s="7" t="s">
        <v>350</v>
      </c>
      <c r="D65" s="7" t="s">
        <v>351</v>
      </c>
      <c r="E65" s="7" t="s">
        <v>344</v>
      </c>
      <c r="F65" s="7" t="s">
        <v>325</v>
      </c>
      <c r="G65" s="7" t="s">
        <v>326</v>
      </c>
      <c r="H65" s="7" t="s">
        <v>327</v>
      </c>
      <c r="I65" s="7"/>
      <c r="J65" s="8" t="s">
        <v>47</v>
      </c>
      <c r="K65" s="8"/>
      <c r="L65" s="8"/>
      <c r="M65" s="8"/>
      <c r="N65" s="8"/>
      <c r="O65" s="8"/>
      <c r="P65" s="8"/>
    </row>
    <row r="66" customFormat="false" ht="23.85" hidden="false" customHeight="false" outlineLevel="0" collapsed="false">
      <c r="A66" s="7" t="s">
        <v>466</v>
      </c>
      <c r="B66" s="7" t="s">
        <v>467</v>
      </c>
      <c r="C66" s="7" t="s">
        <v>322</v>
      </c>
      <c r="D66" s="7" t="s">
        <v>323</v>
      </c>
      <c r="E66" s="7" t="s">
        <v>332</v>
      </c>
      <c r="F66" s="7" t="s">
        <v>325</v>
      </c>
      <c r="G66" s="7" t="s">
        <v>326</v>
      </c>
      <c r="H66" s="7" t="s">
        <v>326</v>
      </c>
      <c r="I66" s="7"/>
      <c r="J66" s="8" t="s">
        <v>47</v>
      </c>
      <c r="K66" s="8"/>
      <c r="L66" s="8"/>
      <c r="M66" s="8"/>
      <c r="N66" s="8"/>
      <c r="O66" s="8"/>
      <c r="P66" s="8"/>
    </row>
    <row r="67" customFormat="false" ht="23.85" hidden="false" customHeight="false" outlineLevel="0" collapsed="false">
      <c r="A67" s="7" t="s">
        <v>468</v>
      </c>
      <c r="B67" s="7" t="s">
        <v>469</v>
      </c>
      <c r="C67" s="7" t="s">
        <v>350</v>
      </c>
      <c r="D67" s="7" t="s">
        <v>351</v>
      </c>
      <c r="E67" s="7" t="s">
        <v>344</v>
      </c>
      <c r="F67" s="7" t="s">
        <v>325</v>
      </c>
      <c r="G67" s="7" t="s">
        <v>326</v>
      </c>
      <c r="H67" s="7" t="s">
        <v>327</v>
      </c>
      <c r="I67" s="7"/>
      <c r="J67" s="8" t="s">
        <v>47</v>
      </c>
      <c r="K67" s="8"/>
      <c r="L67" s="8"/>
      <c r="M67" s="8"/>
      <c r="N67" s="8"/>
      <c r="O67" s="8"/>
      <c r="P67" s="8"/>
    </row>
    <row r="68" customFormat="false" ht="23.85" hidden="false" customHeight="false" outlineLevel="0" collapsed="false">
      <c r="A68" s="7" t="s">
        <v>470</v>
      </c>
      <c r="B68" s="7" t="s">
        <v>321</v>
      </c>
      <c r="C68" s="7" t="s">
        <v>322</v>
      </c>
      <c r="D68" s="7" t="s">
        <v>323</v>
      </c>
      <c r="E68" s="7" t="s">
        <v>332</v>
      </c>
      <c r="F68" s="7" t="s">
        <v>471</v>
      </c>
      <c r="G68" s="7" t="s">
        <v>326</v>
      </c>
      <c r="H68" s="7" t="s">
        <v>327</v>
      </c>
      <c r="I68" s="7"/>
      <c r="J68" s="8" t="s">
        <v>47</v>
      </c>
      <c r="K68" s="8"/>
      <c r="L68" s="8"/>
      <c r="M68" s="8"/>
      <c r="N68" s="8"/>
      <c r="O68" s="8"/>
      <c r="P68" s="8"/>
    </row>
    <row r="69" customFormat="false" ht="23.85" hidden="false" customHeight="false" outlineLevel="0" collapsed="false">
      <c r="A69" s="7" t="s">
        <v>472</v>
      </c>
      <c r="B69" s="7" t="s">
        <v>321</v>
      </c>
      <c r="C69" s="7" t="s">
        <v>322</v>
      </c>
      <c r="D69" s="7" t="s">
        <v>323</v>
      </c>
      <c r="E69" s="7" t="s">
        <v>344</v>
      </c>
      <c r="F69" s="7" t="s">
        <v>344</v>
      </c>
      <c r="G69" s="7" t="s">
        <v>326</v>
      </c>
      <c r="H69" s="7" t="s">
        <v>327</v>
      </c>
      <c r="I69" s="7"/>
      <c r="J69" s="8" t="s">
        <v>47</v>
      </c>
      <c r="K69" s="8"/>
      <c r="L69" s="8"/>
      <c r="M69" s="8"/>
      <c r="N69" s="8"/>
      <c r="O69" s="8"/>
      <c r="P69" s="8"/>
    </row>
    <row r="70" customFormat="false" ht="23.85" hidden="false" customHeight="false" outlineLevel="0" collapsed="false">
      <c r="A70" s="7" t="s">
        <v>473</v>
      </c>
      <c r="B70" s="7" t="s">
        <v>321</v>
      </c>
      <c r="C70" s="7" t="s">
        <v>322</v>
      </c>
      <c r="D70" s="7" t="s">
        <v>323</v>
      </c>
      <c r="E70" s="7" t="s">
        <v>347</v>
      </c>
      <c r="F70" s="7" t="s">
        <v>347</v>
      </c>
      <c r="G70" s="7" t="s">
        <v>326</v>
      </c>
      <c r="H70" s="7" t="s">
        <v>327</v>
      </c>
      <c r="I70" s="7"/>
      <c r="J70" s="8" t="s">
        <v>47</v>
      </c>
      <c r="K70" s="8"/>
      <c r="L70" s="8"/>
      <c r="M70" s="8"/>
      <c r="N70" s="8"/>
      <c r="O70" s="8"/>
      <c r="P70" s="8"/>
    </row>
    <row r="71" customFormat="false" ht="23.85" hidden="false" customHeight="false" outlineLevel="0" collapsed="false">
      <c r="A71" s="7" t="s">
        <v>474</v>
      </c>
      <c r="B71" s="7" t="s">
        <v>475</v>
      </c>
      <c r="C71" s="7" t="s">
        <v>350</v>
      </c>
      <c r="D71" s="7" t="s">
        <v>351</v>
      </c>
      <c r="E71" s="7" t="s">
        <v>332</v>
      </c>
      <c r="F71" s="7" t="s">
        <v>471</v>
      </c>
      <c r="G71" s="7" t="s">
        <v>326</v>
      </c>
      <c r="H71" s="7" t="s">
        <v>327</v>
      </c>
      <c r="I71" s="7"/>
      <c r="J71" s="8" t="s">
        <v>47</v>
      </c>
      <c r="K71" s="8"/>
      <c r="L71" s="8"/>
      <c r="M71" s="8"/>
      <c r="N71" s="8"/>
      <c r="O71" s="8"/>
      <c r="P71" s="8"/>
    </row>
    <row r="72" customFormat="false" ht="23.85" hidden="false" customHeight="false" outlineLevel="0" collapsed="false">
      <c r="A72" s="7" t="s">
        <v>476</v>
      </c>
      <c r="B72" s="7" t="s">
        <v>477</v>
      </c>
      <c r="C72" s="7" t="s">
        <v>350</v>
      </c>
      <c r="D72" s="7" t="s">
        <v>351</v>
      </c>
      <c r="E72" s="7" t="s">
        <v>344</v>
      </c>
      <c r="F72" s="7" t="s">
        <v>344</v>
      </c>
      <c r="G72" s="7" t="s">
        <v>326</v>
      </c>
      <c r="H72" s="7" t="s">
        <v>327</v>
      </c>
      <c r="I72" s="7"/>
      <c r="J72" s="8" t="s">
        <v>47</v>
      </c>
      <c r="K72" s="8"/>
      <c r="L72" s="8"/>
      <c r="M72" s="8"/>
      <c r="N72" s="8"/>
      <c r="O72" s="8"/>
      <c r="P72" s="8"/>
    </row>
    <row r="73" customFormat="false" ht="23.85" hidden="false" customHeight="false" outlineLevel="0" collapsed="false">
      <c r="A73" s="7" t="s">
        <v>478</v>
      </c>
      <c r="B73" s="7" t="s">
        <v>479</v>
      </c>
      <c r="C73" s="7" t="s">
        <v>350</v>
      </c>
      <c r="D73" s="7" t="s">
        <v>351</v>
      </c>
      <c r="E73" s="7" t="s">
        <v>347</v>
      </c>
      <c r="F73" s="7" t="s">
        <v>347</v>
      </c>
      <c r="G73" s="7" t="s">
        <v>326</v>
      </c>
      <c r="H73" s="7" t="s">
        <v>327</v>
      </c>
      <c r="I73" s="7"/>
      <c r="J73" s="8" t="s">
        <v>47</v>
      </c>
      <c r="K73" s="8"/>
      <c r="L73" s="8"/>
      <c r="M73" s="8"/>
      <c r="N73" s="8"/>
      <c r="O73" s="8"/>
      <c r="P73" s="8"/>
    </row>
    <row r="74" customFormat="false" ht="23.85" hidden="false" customHeight="false" outlineLevel="0" collapsed="false">
      <c r="A74" s="7" t="s">
        <v>480</v>
      </c>
      <c r="B74" s="7" t="s">
        <v>481</v>
      </c>
      <c r="C74" s="7" t="s">
        <v>350</v>
      </c>
      <c r="D74" s="7" t="s">
        <v>351</v>
      </c>
      <c r="E74" s="7" t="s">
        <v>324</v>
      </c>
      <c r="F74" s="7" t="s">
        <v>324</v>
      </c>
      <c r="G74" s="7" t="s">
        <v>326</v>
      </c>
      <c r="H74" s="7" t="s">
        <v>327</v>
      </c>
      <c r="I74" s="7"/>
      <c r="J74" s="8" t="s">
        <v>47</v>
      </c>
      <c r="K74" s="8"/>
      <c r="L74" s="8"/>
      <c r="M74" s="8"/>
      <c r="N74" s="8"/>
      <c r="O74" s="8"/>
      <c r="P74" s="8"/>
    </row>
    <row r="75" customFormat="false" ht="23.85" hidden="false" customHeight="false" outlineLevel="0" collapsed="false">
      <c r="A75" s="7" t="s">
        <v>482</v>
      </c>
      <c r="B75" s="7" t="s">
        <v>483</v>
      </c>
      <c r="C75" s="7" t="s">
        <v>350</v>
      </c>
      <c r="D75" s="7" t="s">
        <v>351</v>
      </c>
      <c r="E75" s="7" t="s">
        <v>344</v>
      </c>
      <c r="F75" s="7" t="s">
        <v>344</v>
      </c>
      <c r="G75" s="7" t="s">
        <v>326</v>
      </c>
      <c r="H75" s="7" t="s">
        <v>327</v>
      </c>
      <c r="I75" s="7"/>
      <c r="J75" s="8" t="s">
        <v>47</v>
      </c>
      <c r="K75" s="8"/>
      <c r="L75" s="8"/>
      <c r="M75" s="8"/>
      <c r="N75" s="8"/>
      <c r="O75" s="8"/>
      <c r="P75" s="8"/>
    </row>
    <row r="76" customFormat="false" ht="23.85" hidden="false" customHeight="false" outlineLevel="0" collapsed="false">
      <c r="A76" s="7" t="s">
        <v>484</v>
      </c>
      <c r="B76" s="7" t="s">
        <v>485</v>
      </c>
      <c r="C76" s="7" t="s">
        <v>350</v>
      </c>
      <c r="D76" s="7" t="s">
        <v>351</v>
      </c>
      <c r="E76" s="7" t="s">
        <v>332</v>
      </c>
      <c r="F76" s="7" t="s">
        <v>471</v>
      </c>
      <c r="G76" s="7" t="s">
        <v>326</v>
      </c>
      <c r="H76" s="7" t="s">
        <v>327</v>
      </c>
      <c r="I76" s="7"/>
      <c r="J76" s="8" t="s">
        <v>47</v>
      </c>
      <c r="K76" s="8"/>
      <c r="L76" s="8"/>
      <c r="M76" s="8"/>
      <c r="N76" s="8"/>
      <c r="O76" s="8"/>
      <c r="P76" s="8"/>
    </row>
    <row r="77" customFormat="false" ht="23.85" hidden="false" customHeight="false" outlineLevel="0" collapsed="false">
      <c r="A77" s="7" t="s">
        <v>486</v>
      </c>
      <c r="B77" s="7" t="s">
        <v>487</v>
      </c>
      <c r="C77" s="7" t="s">
        <v>350</v>
      </c>
      <c r="D77" s="7" t="s">
        <v>351</v>
      </c>
      <c r="E77" s="7" t="s">
        <v>344</v>
      </c>
      <c r="F77" s="7" t="s">
        <v>344</v>
      </c>
      <c r="G77" s="7" t="s">
        <v>326</v>
      </c>
      <c r="H77" s="7" t="s">
        <v>327</v>
      </c>
      <c r="I77" s="7"/>
      <c r="J77" s="8" t="s">
        <v>47</v>
      </c>
      <c r="K77" s="8"/>
      <c r="L77" s="8"/>
      <c r="M77" s="8"/>
      <c r="N77" s="8"/>
      <c r="O77" s="8"/>
      <c r="P77" s="8"/>
    </row>
    <row r="78" customFormat="false" ht="23.85" hidden="false" customHeight="false" outlineLevel="0" collapsed="false">
      <c r="A78" s="7" t="s">
        <v>488</v>
      </c>
      <c r="B78" s="7" t="s">
        <v>489</v>
      </c>
      <c r="C78" s="7" t="s">
        <v>350</v>
      </c>
      <c r="D78" s="7" t="s">
        <v>351</v>
      </c>
      <c r="E78" s="7" t="s">
        <v>344</v>
      </c>
      <c r="F78" s="7" t="s">
        <v>344</v>
      </c>
      <c r="G78" s="7" t="s">
        <v>326</v>
      </c>
      <c r="H78" s="7" t="s">
        <v>327</v>
      </c>
      <c r="I78" s="7"/>
      <c r="J78" s="8" t="s">
        <v>47</v>
      </c>
      <c r="K78" s="8"/>
      <c r="L78" s="8"/>
      <c r="M78" s="8"/>
      <c r="N78" s="8"/>
      <c r="O78" s="8"/>
      <c r="P78" s="8"/>
    </row>
    <row r="79" customFormat="false" ht="23.85" hidden="false" customHeight="false" outlineLevel="0" collapsed="false">
      <c r="A79" s="7" t="s">
        <v>490</v>
      </c>
      <c r="B79" s="7" t="s">
        <v>491</v>
      </c>
      <c r="C79" s="7" t="s">
        <v>350</v>
      </c>
      <c r="D79" s="7" t="s">
        <v>351</v>
      </c>
      <c r="E79" s="7" t="s">
        <v>347</v>
      </c>
      <c r="F79" s="7" t="s">
        <v>347</v>
      </c>
      <c r="G79" s="7" t="s">
        <v>326</v>
      </c>
      <c r="H79" s="7" t="s">
        <v>327</v>
      </c>
      <c r="I79" s="7"/>
      <c r="J79" s="8" t="s">
        <v>47</v>
      </c>
      <c r="K79" s="8"/>
      <c r="L79" s="8"/>
      <c r="M79" s="8"/>
      <c r="N79" s="8"/>
      <c r="O79" s="8"/>
      <c r="P79" s="8"/>
    </row>
    <row r="80" customFormat="false" ht="23.85" hidden="false" customHeight="false" outlineLevel="0" collapsed="false">
      <c r="A80" s="7" t="s">
        <v>492</v>
      </c>
      <c r="B80" s="7" t="s">
        <v>493</v>
      </c>
      <c r="C80" s="7" t="s">
        <v>350</v>
      </c>
      <c r="D80" s="7" t="s">
        <v>351</v>
      </c>
      <c r="E80" s="7" t="s">
        <v>324</v>
      </c>
      <c r="F80" s="7" t="s">
        <v>324</v>
      </c>
      <c r="G80" s="7" t="s">
        <v>326</v>
      </c>
      <c r="H80" s="7" t="s">
        <v>327</v>
      </c>
      <c r="I80" s="7"/>
      <c r="J80" s="8" t="s">
        <v>47</v>
      </c>
      <c r="K80" s="8"/>
      <c r="L80" s="8"/>
      <c r="M80" s="8"/>
      <c r="N80" s="8"/>
      <c r="O80" s="8"/>
      <c r="P80" s="8"/>
    </row>
    <row r="81" customFormat="false" ht="23.85" hidden="false" customHeight="false" outlineLevel="0" collapsed="false">
      <c r="A81" s="7" t="s">
        <v>494</v>
      </c>
      <c r="B81" s="7" t="s">
        <v>495</v>
      </c>
      <c r="C81" s="7" t="s">
        <v>350</v>
      </c>
      <c r="D81" s="7" t="s">
        <v>351</v>
      </c>
      <c r="E81" s="7" t="s">
        <v>332</v>
      </c>
      <c r="F81" s="7" t="s">
        <v>471</v>
      </c>
      <c r="G81" s="7" t="s">
        <v>326</v>
      </c>
      <c r="H81" s="7" t="s">
        <v>327</v>
      </c>
      <c r="I81" s="7"/>
      <c r="J81" s="8" t="s">
        <v>47</v>
      </c>
      <c r="K81" s="8"/>
      <c r="L81" s="8"/>
      <c r="M81" s="8"/>
      <c r="N81" s="8"/>
      <c r="O81" s="8"/>
      <c r="P81" s="8"/>
    </row>
    <row r="82" customFormat="false" ht="23.85" hidden="false" customHeight="false" outlineLevel="0" collapsed="false">
      <c r="A82" s="7" t="s">
        <v>496</v>
      </c>
      <c r="B82" s="7" t="s">
        <v>497</v>
      </c>
      <c r="C82" s="7" t="s">
        <v>350</v>
      </c>
      <c r="D82" s="7" t="s">
        <v>351</v>
      </c>
      <c r="E82" s="7" t="s">
        <v>344</v>
      </c>
      <c r="F82" s="7" t="s">
        <v>344</v>
      </c>
      <c r="G82" s="7" t="s">
        <v>326</v>
      </c>
      <c r="H82" s="7" t="s">
        <v>327</v>
      </c>
      <c r="I82" s="7"/>
      <c r="J82" s="8" t="s">
        <v>47</v>
      </c>
      <c r="K82" s="8"/>
      <c r="L82" s="8"/>
      <c r="M82" s="8"/>
      <c r="N82" s="8"/>
      <c r="O82" s="8"/>
      <c r="P82" s="8"/>
    </row>
    <row r="83" customFormat="false" ht="23.85" hidden="false" customHeight="false" outlineLevel="0" collapsed="false">
      <c r="A83" s="7" t="s">
        <v>498</v>
      </c>
      <c r="B83" s="7" t="s">
        <v>499</v>
      </c>
      <c r="C83" s="7" t="s">
        <v>350</v>
      </c>
      <c r="D83" s="7" t="s">
        <v>351</v>
      </c>
      <c r="E83" s="7" t="s">
        <v>324</v>
      </c>
      <c r="F83" s="7" t="s">
        <v>324</v>
      </c>
      <c r="G83" s="7" t="s">
        <v>326</v>
      </c>
      <c r="H83" s="7" t="s">
        <v>327</v>
      </c>
      <c r="I83" s="7"/>
      <c r="J83" s="8" t="s">
        <v>47</v>
      </c>
      <c r="K83" s="8"/>
      <c r="L83" s="8"/>
      <c r="M83" s="8"/>
      <c r="N83" s="8"/>
      <c r="O83" s="8"/>
      <c r="P83" s="8"/>
    </row>
    <row r="84" customFormat="false" ht="23.85" hidden="false" customHeight="false" outlineLevel="0" collapsed="false">
      <c r="A84" s="7" t="s">
        <v>500</v>
      </c>
      <c r="B84" s="7" t="s">
        <v>501</v>
      </c>
      <c r="C84" s="7" t="s">
        <v>350</v>
      </c>
      <c r="D84" s="7" t="s">
        <v>351</v>
      </c>
      <c r="E84" s="7" t="s">
        <v>332</v>
      </c>
      <c r="F84" s="7" t="s">
        <v>471</v>
      </c>
      <c r="G84" s="7" t="s">
        <v>326</v>
      </c>
      <c r="H84" s="7" t="s">
        <v>327</v>
      </c>
      <c r="I84" s="7"/>
      <c r="J84" s="8" t="s">
        <v>47</v>
      </c>
      <c r="K84" s="8"/>
      <c r="L84" s="8"/>
      <c r="M84" s="8"/>
      <c r="N84" s="8"/>
      <c r="O84" s="8"/>
      <c r="P84" s="8"/>
    </row>
    <row r="85" customFormat="false" ht="23.85" hidden="false" customHeight="false" outlineLevel="0" collapsed="false">
      <c r="A85" s="7" t="s">
        <v>502</v>
      </c>
      <c r="B85" s="7" t="s">
        <v>503</v>
      </c>
      <c r="C85" s="7" t="s">
        <v>350</v>
      </c>
      <c r="D85" s="7" t="s">
        <v>351</v>
      </c>
      <c r="E85" s="7" t="s">
        <v>344</v>
      </c>
      <c r="F85" s="7" t="s">
        <v>344</v>
      </c>
      <c r="G85" s="7" t="s">
        <v>326</v>
      </c>
      <c r="H85" s="7" t="s">
        <v>327</v>
      </c>
      <c r="I85" s="7"/>
      <c r="J85" s="8" t="s">
        <v>47</v>
      </c>
      <c r="K85" s="8"/>
      <c r="L85" s="8"/>
      <c r="M85" s="8"/>
      <c r="N85" s="8"/>
      <c r="O85" s="8"/>
      <c r="P85" s="8"/>
    </row>
    <row r="86" customFormat="false" ht="23.85" hidden="false" customHeight="false" outlineLevel="0" collapsed="false">
      <c r="A86" s="7" t="s">
        <v>504</v>
      </c>
      <c r="B86" s="7" t="s">
        <v>505</v>
      </c>
      <c r="C86" s="7" t="s">
        <v>506</v>
      </c>
      <c r="D86" s="7" t="s">
        <v>323</v>
      </c>
      <c r="E86" s="7" t="s">
        <v>332</v>
      </c>
      <c r="F86" s="7" t="s">
        <v>325</v>
      </c>
      <c r="G86" s="7" t="s">
        <v>327</v>
      </c>
      <c r="H86" s="7" t="s">
        <v>327</v>
      </c>
      <c r="I86" s="7" t="s">
        <v>507</v>
      </c>
      <c r="J86" s="8" t="s">
        <v>47</v>
      </c>
      <c r="K86" s="8"/>
      <c r="L86" s="8"/>
      <c r="M86" s="8"/>
      <c r="N86" s="8"/>
      <c r="O86" s="8"/>
      <c r="P86" s="8"/>
    </row>
    <row r="87" customFormat="false" ht="23.85" hidden="false" customHeight="false" outlineLevel="0" collapsed="false">
      <c r="A87" s="7" t="s">
        <v>508</v>
      </c>
      <c r="B87" s="7" t="s">
        <v>509</v>
      </c>
      <c r="C87" s="7" t="s">
        <v>322</v>
      </c>
      <c r="D87" s="7" t="s">
        <v>323</v>
      </c>
      <c r="E87" s="7" t="s">
        <v>332</v>
      </c>
      <c r="F87" s="7" t="s">
        <v>325</v>
      </c>
      <c r="G87" s="7" t="s">
        <v>326</v>
      </c>
      <c r="H87" s="7" t="s">
        <v>326</v>
      </c>
      <c r="I87" s="7"/>
      <c r="J87" s="8" t="s">
        <v>47</v>
      </c>
      <c r="K87" s="8"/>
      <c r="L87" s="8"/>
      <c r="M87" s="8"/>
      <c r="N87" s="8"/>
      <c r="O87" s="8"/>
      <c r="P87" s="8"/>
    </row>
    <row r="88" customFormat="false" ht="23.85" hidden="false" customHeight="false" outlineLevel="0" collapsed="false">
      <c r="A88" s="7" t="s">
        <v>510</v>
      </c>
      <c r="B88" s="7" t="s">
        <v>511</v>
      </c>
      <c r="C88" s="7" t="s">
        <v>331</v>
      </c>
      <c r="D88" s="7" t="s">
        <v>323</v>
      </c>
      <c r="E88" s="7" t="s">
        <v>512</v>
      </c>
      <c r="F88" s="7" t="s">
        <v>512</v>
      </c>
      <c r="G88" s="7" t="s">
        <v>326</v>
      </c>
      <c r="H88" s="7" t="s">
        <v>327</v>
      </c>
      <c r="I88" s="7"/>
      <c r="J88" s="8" t="s">
        <v>47</v>
      </c>
      <c r="K88" s="8"/>
      <c r="L88" s="8"/>
      <c r="M88" s="8"/>
      <c r="N88" s="8"/>
      <c r="O88" s="8"/>
      <c r="P88" s="8"/>
    </row>
    <row r="89" customFormat="false" ht="23.85" hidden="false" customHeight="false" outlineLevel="0" collapsed="false">
      <c r="A89" s="7" t="s">
        <v>513</v>
      </c>
      <c r="B89" s="7" t="s">
        <v>514</v>
      </c>
      <c r="C89" s="7" t="s">
        <v>331</v>
      </c>
      <c r="D89" s="7" t="s">
        <v>323</v>
      </c>
      <c r="E89" s="7" t="s">
        <v>515</v>
      </c>
      <c r="F89" s="7" t="s">
        <v>515</v>
      </c>
      <c r="G89" s="7" t="s">
        <v>326</v>
      </c>
      <c r="H89" s="7" t="s">
        <v>327</v>
      </c>
      <c r="I89" s="7"/>
      <c r="J89" s="8" t="s">
        <v>47</v>
      </c>
      <c r="K89" s="8"/>
      <c r="L89" s="8"/>
      <c r="M89" s="8"/>
      <c r="N89" s="8"/>
      <c r="O89" s="8"/>
      <c r="P89" s="8"/>
    </row>
    <row r="90" customFormat="false" ht="23.85" hidden="false" customHeight="false" outlineLevel="0" collapsed="false">
      <c r="A90" s="7" t="s">
        <v>516</v>
      </c>
      <c r="B90" s="7" t="s">
        <v>517</v>
      </c>
      <c r="C90" s="7" t="s">
        <v>331</v>
      </c>
      <c r="D90" s="7" t="s">
        <v>323</v>
      </c>
      <c r="E90" s="7" t="s">
        <v>518</v>
      </c>
      <c r="F90" s="7" t="s">
        <v>518</v>
      </c>
      <c r="G90" s="7" t="s">
        <v>326</v>
      </c>
      <c r="H90" s="7" t="s">
        <v>327</v>
      </c>
      <c r="I90" s="7"/>
      <c r="J90" s="8" t="s">
        <v>47</v>
      </c>
      <c r="K90" s="8"/>
      <c r="L90" s="8"/>
      <c r="M90" s="8"/>
      <c r="N90" s="8"/>
      <c r="O90" s="8"/>
      <c r="P90" s="8"/>
    </row>
    <row r="91" customFormat="false" ht="23.85" hidden="false" customHeight="false" outlineLevel="0" collapsed="false">
      <c r="A91" s="7" t="s">
        <v>519</v>
      </c>
      <c r="B91" s="7" t="s">
        <v>520</v>
      </c>
      <c r="C91" s="7" t="s">
        <v>331</v>
      </c>
      <c r="D91" s="7" t="s">
        <v>323</v>
      </c>
      <c r="E91" s="7" t="s">
        <v>471</v>
      </c>
      <c r="F91" s="7" t="s">
        <v>471</v>
      </c>
      <c r="G91" s="7" t="s">
        <v>326</v>
      </c>
      <c r="H91" s="7" t="s">
        <v>327</v>
      </c>
      <c r="I91" s="7"/>
      <c r="J91" s="8" t="s">
        <v>47</v>
      </c>
      <c r="K91" s="8"/>
      <c r="L91" s="8"/>
      <c r="M91" s="8"/>
      <c r="N91" s="8"/>
      <c r="O91" s="8"/>
      <c r="P91" s="8"/>
    </row>
    <row r="92" customFormat="false" ht="23.85" hidden="false" customHeight="false" outlineLevel="0" collapsed="false">
      <c r="A92" s="7" t="s">
        <v>521</v>
      </c>
      <c r="B92" s="7" t="s">
        <v>321</v>
      </c>
      <c r="C92" s="7" t="s">
        <v>322</v>
      </c>
      <c r="D92" s="7" t="s">
        <v>323</v>
      </c>
      <c r="E92" s="7" t="s">
        <v>332</v>
      </c>
      <c r="F92" s="7" t="s">
        <v>471</v>
      </c>
      <c r="G92" s="7" t="s">
        <v>327</v>
      </c>
      <c r="H92" s="7" t="s">
        <v>327</v>
      </c>
      <c r="I92" s="7" t="s">
        <v>522</v>
      </c>
      <c r="J92" s="8" t="s">
        <v>47</v>
      </c>
      <c r="K92" s="8"/>
      <c r="L92" s="8"/>
      <c r="M92" s="8"/>
      <c r="N92" s="8"/>
      <c r="O92" s="8"/>
      <c r="P92" s="8"/>
    </row>
    <row r="93" customFormat="false" ht="23.85" hidden="false" customHeight="false" outlineLevel="0" collapsed="false">
      <c r="A93" s="7" t="s">
        <v>523</v>
      </c>
      <c r="B93" s="7" t="s">
        <v>524</v>
      </c>
      <c r="C93" s="7" t="s">
        <v>525</v>
      </c>
      <c r="D93" s="7" t="s">
        <v>323</v>
      </c>
      <c r="E93" s="7" t="s">
        <v>332</v>
      </c>
      <c r="F93" s="7" t="s">
        <v>325</v>
      </c>
      <c r="G93" s="7" t="s">
        <v>326</v>
      </c>
      <c r="H93" s="7" t="s">
        <v>327</v>
      </c>
      <c r="I93" s="7"/>
      <c r="J93" s="8" t="s">
        <v>47</v>
      </c>
      <c r="K93" s="8"/>
      <c r="L93" s="8"/>
      <c r="M93" s="8"/>
      <c r="N93" s="8"/>
      <c r="O93" s="8"/>
      <c r="P93" s="8"/>
    </row>
    <row r="94" customFormat="false" ht="23.85" hidden="false" customHeight="false" outlineLevel="0" collapsed="false">
      <c r="A94" s="7" t="s">
        <v>526</v>
      </c>
      <c r="B94" s="7" t="s">
        <v>527</v>
      </c>
      <c r="C94" s="7" t="s">
        <v>525</v>
      </c>
      <c r="D94" s="7" t="s">
        <v>323</v>
      </c>
      <c r="E94" s="7" t="s">
        <v>332</v>
      </c>
      <c r="F94" s="7" t="s">
        <v>325</v>
      </c>
      <c r="G94" s="7" t="s">
        <v>326</v>
      </c>
      <c r="H94" s="7" t="s">
        <v>327</v>
      </c>
      <c r="I94" s="7"/>
      <c r="J94" s="8" t="s">
        <v>47</v>
      </c>
      <c r="K94" s="8"/>
      <c r="L94" s="8"/>
      <c r="M94" s="8"/>
      <c r="N94" s="8"/>
      <c r="O94" s="8"/>
      <c r="P94" s="8"/>
    </row>
    <row r="95" customFormat="false" ht="23.85" hidden="false" customHeight="false" outlineLevel="0" collapsed="false">
      <c r="A95" s="7" t="s">
        <v>528</v>
      </c>
      <c r="B95" s="7" t="s">
        <v>321</v>
      </c>
      <c r="C95" s="7" t="s">
        <v>322</v>
      </c>
      <c r="D95" s="7" t="s">
        <v>323</v>
      </c>
      <c r="E95" s="7" t="s">
        <v>344</v>
      </c>
      <c r="F95" s="7" t="s">
        <v>344</v>
      </c>
      <c r="G95" s="7" t="s">
        <v>327</v>
      </c>
      <c r="H95" s="7" t="s">
        <v>327</v>
      </c>
      <c r="I95" s="7" t="s">
        <v>522</v>
      </c>
      <c r="J95" s="8" t="s">
        <v>47</v>
      </c>
      <c r="K95" s="8"/>
      <c r="L95" s="8"/>
      <c r="M95" s="8"/>
      <c r="N95" s="8"/>
      <c r="O95" s="8"/>
      <c r="P95" s="8"/>
    </row>
    <row r="96" customFormat="false" ht="23.85" hidden="false" customHeight="false" outlineLevel="0" collapsed="false">
      <c r="A96" s="7" t="s">
        <v>529</v>
      </c>
      <c r="B96" s="7" t="s">
        <v>530</v>
      </c>
      <c r="C96" s="7" t="s">
        <v>322</v>
      </c>
      <c r="D96" s="7" t="s">
        <v>323</v>
      </c>
      <c r="E96" s="7" t="s">
        <v>332</v>
      </c>
      <c r="F96" s="7" t="s">
        <v>325</v>
      </c>
      <c r="G96" s="7" t="s">
        <v>326</v>
      </c>
      <c r="H96" s="7" t="s">
        <v>326</v>
      </c>
      <c r="I96" s="7"/>
      <c r="J96" s="8" t="s">
        <v>47</v>
      </c>
      <c r="K96" s="8"/>
      <c r="L96" s="8"/>
      <c r="M96" s="8"/>
      <c r="N96" s="8"/>
      <c r="O96" s="8"/>
      <c r="P96" s="8"/>
    </row>
    <row r="97" customFormat="false" ht="23.85" hidden="false" customHeight="false" outlineLevel="0" collapsed="false">
      <c r="A97" s="7" t="s">
        <v>531</v>
      </c>
      <c r="B97" s="7" t="s">
        <v>532</v>
      </c>
      <c r="C97" s="7" t="s">
        <v>447</v>
      </c>
      <c r="D97" s="7" t="s">
        <v>448</v>
      </c>
      <c r="E97" s="7" t="s">
        <v>332</v>
      </c>
      <c r="F97" s="7" t="s">
        <v>325</v>
      </c>
      <c r="G97" s="7" t="s">
        <v>326</v>
      </c>
      <c r="H97" s="7" t="s">
        <v>326</v>
      </c>
      <c r="I97" s="7" t="s">
        <v>449</v>
      </c>
      <c r="J97" s="8" t="s">
        <v>47</v>
      </c>
      <c r="K97" s="8"/>
      <c r="L97" s="8"/>
      <c r="M97" s="8"/>
      <c r="N97" s="8"/>
      <c r="O97" s="8"/>
      <c r="P97" s="8"/>
    </row>
    <row r="98" customFormat="false" ht="23.85" hidden="false" customHeight="false" outlineLevel="0" collapsed="false">
      <c r="A98" s="7" t="s">
        <v>533</v>
      </c>
      <c r="B98" s="7" t="s">
        <v>534</v>
      </c>
      <c r="C98" s="7" t="s">
        <v>525</v>
      </c>
      <c r="D98" s="7" t="s">
        <v>323</v>
      </c>
      <c r="E98" s="7" t="s">
        <v>332</v>
      </c>
      <c r="F98" s="7" t="s">
        <v>325</v>
      </c>
      <c r="G98" s="7" t="s">
        <v>326</v>
      </c>
      <c r="H98" s="7" t="s">
        <v>327</v>
      </c>
      <c r="I98" s="7"/>
      <c r="J98" s="8" t="s">
        <v>47</v>
      </c>
      <c r="K98" s="8"/>
      <c r="L98" s="8"/>
      <c r="M98" s="8"/>
      <c r="N98" s="8"/>
      <c r="O98" s="8"/>
      <c r="P98" s="8"/>
    </row>
    <row r="99" customFormat="false" ht="23.85" hidden="false" customHeight="false" outlineLevel="0" collapsed="false">
      <c r="A99" s="7" t="s">
        <v>535</v>
      </c>
      <c r="B99" s="7" t="s">
        <v>536</v>
      </c>
      <c r="C99" s="7" t="s">
        <v>525</v>
      </c>
      <c r="D99" s="7" t="s">
        <v>323</v>
      </c>
      <c r="E99" s="7" t="s">
        <v>332</v>
      </c>
      <c r="F99" s="7" t="s">
        <v>325</v>
      </c>
      <c r="G99" s="7" t="s">
        <v>326</v>
      </c>
      <c r="H99" s="7" t="s">
        <v>327</v>
      </c>
      <c r="I99" s="7"/>
      <c r="J99" s="8" t="s">
        <v>47</v>
      </c>
      <c r="K99" s="8"/>
      <c r="L99" s="8"/>
      <c r="M99" s="8"/>
      <c r="N99" s="8"/>
      <c r="O99" s="8"/>
      <c r="P99" s="8"/>
    </row>
    <row r="100" customFormat="false" ht="23.85" hidden="false" customHeight="false" outlineLevel="0" collapsed="false">
      <c r="A100" s="7" t="s">
        <v>537</v>
      </c>
      <c r="B100" s="7" t="s">
        <v>538</v>
      </c>
      <c r="C100" s="7" t="s">
        <v>525</v>
      </c>
      <c r="D100" s="7" t="s">
        <v>323</v>
      </c>
      <c r="E100" s="7" t="s">
        <v>332</v>
      </c>
      <c r="F100" s="7" t="s">
        <v>325</v>
      </c>
      <c r="G100" s="7" t="s">
        <v>326</v>
      </c>
      <c r="H100" s="7" t="s">
        <v>327</v>
      </c>
      <c r="I100" s="7"/>
      <c r="J100" s="8" t="s">
        <v>47</v>
      </c>
      <c r="K100" s="8"/>
      <c r="L100" s="8"/>
      <c r="M100" s="8"/>
      <c r="N100" s="8"/>
      <c r="O100" s="8"/>
      <c r="P100" s="8"/>
    </row>
    <row r="101" customFormat="false" ht="23.85" hidden="false" customHeight="false" outlineLevel="0" collapsed="false">
      <c r="A101" s="7" t="s">
        <v>539</v>
      </c>
      <c r="B101" s="7" t="s">
        <v>540</v>
      </c>
      <c r="C101" s="7" t="s">
        <v>525</v>
      </c>
      <c r="D101" s="7" t="s">
        <v>323</v>
      </c>
      <c r="E101" s="7" t="s">
        <v>332</v>
      </c>
      <c r="F101" s="7" t="s">
        <v>325</v>
      </c>
      <c r="G101" s="7" t="s">
        <v>326</v>
      </c>
      <c r="H101" s="7" t="s">
        <v>327</v>
      </c>
      <c r="I101" s="7"/>
      <c r="J101" s="8" t="s">
        <v>47</v>
      </c>
      <c r="K101" s="8"/>
      <c r="L101" s="8"/>
      <c r="M101" s="8"/>
      <c r="N101" s="8"/>
      <c r="O101" s="8"/>
      <c r="P101" s="8"/>
    </row>
    <row r="102" customFormat="false" ht="23.85" hidden="false" customHeight="false" outlineLevel="0" collapsed="false">
      <c r="A102" s="7" t="s">
        <v>541</v>
      </c>
      <c r="B102" s="7" t="s">
        <v>321</v>
      </c>
      <c r="C102" s="7" t="s">
        <v>322</v>
      </c>
      <c r="D102" s="7" t="s">
        <v>323</v>
      </c>
      <c r="E102" s="7" t="s">
        <v>341</v>
      </c>
      <c r="F102" s="7" t="s">
        <v>325</v>
      </c>
      <c r="G102" s="7" t="s">
        <v>327</v>
      </c>
      <c r="H102" s="7" t="s">
        <v>327</v>
      </c>
      <c r="I102" s="7" t="s">
        <v>522</v>
      </c>
      <c r="J102" s="8" t="s">
        <v>47</v>
      </c>
      <c r="K102" s="8"/>
      <c r="L102" s="8"/>
      <c r="M102" s="8"/>
      <c r="N102" s="8"/>
      <c r="O102" s="8"/>
      <c r="P102" s="8"/>
    </row>
    <row r="103" customFormat="false" ht="23.85" hidden="false" customHeight="false" outlineLevel="0" collapsed="false">
      <c r="A103" s="7" t="s">
        <v>542</v>
      </c>
      <c r="B103" s="7" t="s">
        <v>543</v>
      </c>
      <c r="C103" s="7" t="s">
        <v>525</v>
      </c>
      <c r="D103" s="7" t="s">
        <v>323</v>
      </c>
      <c r="E103" s="7" t="s">
        <v>332</v>
      </c>
      <c r="F103" s="7" t="s">
        <v>325</v>
      </c>
      <c r="G103" s="7" t="s">
        <v>326</v>
      </c>
      <c r="H103" s="7" t="s">
        <v>327</v>
      </c>
      <c r="I103" s="7"/>
      <c r="J103" s="8" t="s">
        <v>47</v>
      </c>
      <c r="K103" s="8"/>
      <c r="L103" s="8"/>
      <c r="M103" s="8"/>
      <c r="N103" s="8"/>
      <c r="O103" s="8"/>
      <c r="P103" s="8"/>
    </row>
    <row r="104" customFormat="false" ht="23.85" hidden="false" customHeight="false" outlineLevel="0" collapsed="false">
      <c r="A104" s="7" t="s">
        <v>544</v>
      </c>
      <c r="B104" s="7" t="s">
        <v>545</v>
      </c>
      <c r="C104" s="7" t="s">
        <v>525</v>
      </c>
      <c r="D104" s="7" t="s">
        <v>323</v>
      </c>
      <c r="E104" s="7" t="s">
        <v>332</v>
      </c>
      <c r="F104" s="7" t="s">
        <v>325</v>
      </c>
      <c r="G104" s="7" t="s">
        <v>326</v>
      </c>
      <c r="H104" s="7" t="s">
        <v>327</v>
      </c>
      <c r="I104" s="7"/>
      <c r="J104" s="8" t="s">
        <v>47</v>
      </c>
      <c r="K104" s="8"/>
      <c r="L104" s="8"/>
      <c r="M104" s="8"/>
      <c r="N104" s="8"/>
      <c r="O104" s="8"/>
      <c r="P104" s="8"/>
    </row>
    <row r="105" customFormat="false" ht="23.85" hidden="false" customHeight="false" outlineLevel="0" collapsed="false">
      <c r="A105" s="7" t="s">
        <v>546</v>
      </c>
      <c r="B105" s="7" t="s">
        <v>547</v>
      </c>
      <c r="C105" s="7" t="s">
        <v>525</v>
      </c>
      <c r="D105" s="7" t="s">
        <v>323</v>
      </c>
      <c r="E105" s="7" t="s">
        <v>332</v>
      </c>
      <c r="F105" s="7" t="s">
        <v>325</v>
      </c>
      <c r="G105" s="7" t="s">
        <v>326</v>
      </c>
      <c r="H105" s="7" t="s">
        <v>327</v>
      </c>
      <c r="I105" s="7"/>
      <c r="J105" s="8" t="s">
        <v>47</v>
      </c>
      <c r="K105" s="8"/>
      <c r="L105" s="8"/>
      <c r="M105" s="8"/>
      <c r="N105" s="8"/>
      <c r="O105" s="8"/>
      <c r="P105" s="8"/>
    </row>
    <row r="106" customFormat="false" ht="23.85" hidden="false" customHeight="false" outlineLevel="0" collapsed="false">
      <c r="A106" s="7" t="s">
        <v>548</v>
      </c>
      <c r="B106" s="7" t="s">
        <v>549</v>
      </c>
      <c r="C106" s="7" t="s">
        <v>525</v>
      </c>
      <c r="D106" s="7" t="s">
        <v>323</v>
      </c>
      <c r="E106" s="7" t="s">
        <v>332</v>
      </c>
      <c r="F106" s="7" t="s">
        <v>325</v>
      </c>
      <c r="G106" s="7" t="s">
        <v>326</v>
      </c>
      <c r="H106" s="7" t="s">
        <v>327</v>
      </c>
      <c r="I106" s="7"/>
      <c r="J106" s="8" t="s">
        <v>47</v>
      </c>
      <c r="K106" s="8"/>
      <c r="L106" s="8"/>
      <c r="M106" s="8"/>
      <c r="N106" s="8"/>
      <c r="O106" s="8"/>
      <c r="P106" s="8"/>
    </row>
    <row r="107" customFormat="false" ht="23.85" hidden="false" customHeight="false" outlineLevel="0" collapsed="false">
      <c r="A107" s="7" t="s">
        <v>550</v>
      </c>
      <c r="B107" s="7" t="s">
        <v>551</v>
      </c>
      <c r="C107" s="7" t="s">
        <v>525</v>
      </c>
      <c r="D107" s="7" t="s">
        <v>323</v>
      </c>
      <c r="E107" s="7" t="s">
        <v>332</v>
      </c>
      <c r="F107" s="7" t="s">
        <v>325</v>
      </c>
      <c r="G107" s="7" t="s">
        <v>326</v>
      </c>
      <c r="H107" s="7" t="s">
        <v>327</v>
      </c>
      <c r="I107" s="7"/>
      <c r="J107" s="8" t="s">
        <v>47</v>
      </c>
      <c r="K107" s="8"/>
      <c r="L107" s="8"/>
      <c r="M107" s="8"/>
      <c r="N107" s="8"/>
      <c r="O107" s="8"/>
      <c r="P107" s="8"/>
    </row>
    <row r="108" customFormat="false" ht="23.85" hidden="false" customHeight="false" outlineLevel="0" collapsed="false">
      <c r="A108" s="7" t="s">
        <v>552</v>
      </c>
      <c r="B108" s="7" t="s">
        <v>553</v>
      </c>
      <c r="C108" s="7" t="s">
        <v>525</v>
      </c>
      <c r="D108" s="7" t="s">
        <v>323</v>
      </c>
      <c r="E108" s="7" t="s">
        <v>332</v>
      </c>
      <c r="F108" s="7" t="s">
        <v>325</v>
      </c>
      <c r="G108" s="7" t="s">
        <v>326</v>
      </c>
      <c r="H108" s="7" t="s">
        <v>327</v>
      </c>
      <c r="I108" s="7"/>
      <c r="J108" s="8" t="s">
        <v>47</v>
      </c>
      <c r="K108" s="8"/>
      <c r="L108" s="8"/>
      <c r="M108" s="8"/>
      <c r="N108" s="8"/>
      <c r="O108" s="8"/>
      <c r="P108" s="8"/>
    </row>
    <row r="109" customFormat="false" ht="23.85" hidden="false" customHeight="false" outlineLevel="0" collapsed="false">
      <c r="A109" s="7" t="s">
        <v>554</v>
      </c>
      <c r="B109" s="7" t="s">
        <v>555</v>
      </c>
      <c r="C109" s="7" t="s">
        <v>525</v>
      </c>
      <c r="D109" s="7" t="s">
        <v>323</v>
      </c>
      <c r="E109" s="7" t="s">
        <v>332</v>
      </c>
      <c r="F109" s="7" t="s">
        <v>325</v>
      </c>
      <c r="G109" s="7" t="s">
        <v>326</v>
      </c>
      <c r="H109" s="7" t="s">
        <v>327</v>
      </c>
      <c r="I109" s="7"/>
      <c r="J109" s="8" t="s">
        <v>47</v>
      </c>
      <c r="K109" s="8"/>
      <c r="L109" s="8"/>
      <c r="M109" s="8"/>
      <c r="N109" s="8"/>
      <c r="O109" s="8"/>
      <c r="P109" s="8"/>
    </row>
    <row r="110" customFormat="false" ht="23.85" hidden="false" customHeight="false" outlineLevel="0" collapsed="false">
      <c r="A110" s="7" t="s">
        <v>556</v>
      </c>
      <c r="B110" s="7" t="s">
        <v>557</v>
      </c>
      <c r="C110" s="7" t="s">
        <v>322</v>
      </c>
      <c r="D110" s="7" t="s">
        <v>323</v>
      </c>
      <c r="E110" s="7" t="s">
        <v>332</v>
      </c>
      <c r="F110" s="7" t="s">
        <v>325</v>
      </c>
      <c r="G110" s="7" t="s">
        <v>326</v>
      </c>
      <c r="H110" s="7" t="s">
        <v>326</v>
      </c>
      <c r="I110" s="7"/>
      <c r="J110" s="8" t="s">
        <v>47</v>
      </c>
      <c r="K110" s="8"/>
      <c r="L110" s="8"/>
      <c r="M110" s="8"/>
      <c r="N110" s="8"/>
      <c r="O110" s="8"/>
      <c r="P110" s="8"/>
    </row>
    <row r="111" customFormat="false" ht="23.85" hidden="false" customHeight="false" outlineLevel="0" collapsed="false">
      <c r="A111" s="7" t="s">
        <v>558</v>
      </c>
      <c r="B111" s="7" t="s">
        <v>559</v>
      </c>
      <c r="C111" s="7" t="s">
        <v>322</v>
      </c>
      <c r="D111" s="7" t="s">
        <v>323</v>
      </c>
      <c r="E111" s="7" t="s">
        <v>332</v>
      </c>
      <c r="F111" s="7" t="s">
        <v>325</v>
      </c>
      <c r="G111" s="7" t="s">
        <v>326</v>
      </c>
      <c r="H111" s="7" t="s">
        <v>326</v>
      </c>
      <c r="I111" s="7"/>
      <c r="J111" s="8" t="s">
        <v>47</v>
      </c>
      <c r="K111" s="8"/>
      <c r="L111" s="8"/>
      <c r="M111" s="8"/>
      <c r="N111" s="8"/>
      <c r="O111" s="8"/>
      <c r="P111" s="8"/>
    </row>
    <row r="112" customFormat="false" ht="23.85" hidden="false" customHeight="false" outlineLevel="0" collapsed="false">
      <c r="A112" s="7" t="s">
        <v>560</v>
      </c>
      <c r="B112" s="7" t="s">
        <v>561</v>
      </c>
      <c r="C112" s="7" t="s">
        <v>322</v>
      </c>
      <c r="D112" s="7" t="s">
        <v>323</v>
      </c>
      <c r="E112" s="7" t="s">
        <v>332</v>
      </c>
      <c r="F112" s="7" t="s">
        <v>325</v>
      </c>
      <c r="G112" s="7" t="s">
        <v>326</v>
      </c>
      <c r="H112" s="7" t="s">
        <v>326</v>
      </c>
      <c r="I112" s="7"/>
      <c r="J112" s="8" t="s">
        <v>47</v>
      </c>
      <c r="K112" s="8"/>
      <c r="L112" s="8"/>
      <c r="M112" s="8"/>
      <c r="N112" s="8"/>
      <c r="O112" s="8"/>
      <c r="P112" s="8"/>
    </row>
    <row r="113" customFormat="false" ht="35.05" hidden="false" customHeight="false" outlineLevel="0" collapsed="false">
      <c r="A113" s="7" t="s">
        <v>562</v>
      </c>
      <c r="B113" s="7" t="s">
        <v>563</v>
      </c>
      <c r="C113" s="7" t="s">
        <v>438</v>
      </c>
      <c r="D113" s="7" t="s">
        <v>351</v>
      </c>
      <c r="E113" s="7" t="s">
        <v>332</v>
      </c>
      <c r="F113" s="7" t="s">
        <v>325</v>
      </c>
      <c r="G113" s="7" t="s">
        <v>326</v>
      </c>
      <c r="H113" s="7" t="s">
        <v>326</v>
      </c>
      <c r="I113" s="7"/>
      <c r="J113" s="8" t="s">
        <v>47</v>
      </c>
      <c r="K113" s="8"/>
      <c r="L113" s="8"/>
      <c r="M113" s="8"/>
      <c r="N113" s="8"/>
      <c r="O113" s="8"/>
      <c r="P113" s="8"/>
    </row>
    <row r="114" customFormat="false" ht="23.85" hidden="false" customHeight="false" outlineLevel="0" collapsed="false">
      <c r="A114" s="7" t="s">
        <v>564</v>
      </c>
      <c r="B114" s="7" t="s">
        <v>565</v>
      </c>
      <c r="C114" s="7" t="s">
        <v>350</v>
      </c>
      <c r="D114" s="7" t="s">
        <v>351</v>
      </c>
      <c r="E114" s="7" t="s">
        <v>344</v>
      </c>
      <c r="F114" s="7" t="s">
        <v>325</v>
      </c>
      <c r="G114" s="7" t="s">
        <v>326</v>
      </c>
      <c r="H114" s="7" t="s">
        <v>327</v>
      </c>
      <c r="I114" s="7"/>
      <c r="J114" s="8" t="s">
        <v>47</v>
      </c>
      <c r="K114" s="8"/>
      <c r="L114" s="8"/>
      <c r="M114" s="8"/>
      <c r="N114" s="8"/>
      <c r="O114" s="8"/>
      <c r="P114" s="8"/>
    </row>
    <row r="115" customFormat="false" ht="23.85" hidden="false" customHeight="false" outlineLevel="0" collapsed="false">
      <c r="A115" s="7" t="s">
        <v>566</v>
      </c>
      <c r="B115" s="7" t="s">
        <v>567</v>
      </c>
      <c r="C115" s="7" t="s">
        <v>525</v>
      </c>
      <c r="D115" s="7" t="s">
        <v>448</v>
      </c>
      <c r="E115" s="7" t="s">
        <v>332</v>
      </c>
      <c r="F115" s="7" t="s">
        <v>325</v>
      </c>
      <c r="G115" s="7" t="s">
        <v>326</v>
      </c>
      <c r="H115" s="7" t="s">
        <v>327</v>
      </c>
      <c r="I115" s="7" t="s">
        <v>568</v>
      </c>
      <c r="J115" s="8" t="s">
        <v>47</v>
      </c>
      <c r="K115" s="8"/>
      <c r="L115" s="8"/>
      <c r="M115" s="8"/>
      <c r="N115" s="8"/>
      <c r="O115" s="8"/>
      <c r="P115" s="8"/>
    </row>
    <row r="116" customFormat="false" ht="23.85" hidden="false" customHeight="false" outlineLevel="0" collapsed="false">
      <c r="A116" s="7" t="s">
        <v>569</v>
      </c>
      <c r="B116" s="7" t="s">
        <v>570</v>
      </c>
      <c r="C116" s="7" t="s">
        <v>322</v>
      </c>
      <c r="D116" s="7" t="s">
        <v>323</v>
      </c>
      <c r="E116" s="7" t="s">
        <v>332</v>
      </c>
      <c r="F116" s="7" t="s">
        <v>325</v>
      </c>
      <c r="G116" s="7" t="s">
        <v>326</v>
      </c>
      <c r="H116" s="7" t="s">
        <v>326</v>
      </c>
      <c r="I116" s="7"/>
      <c r="J116" s="8" t="s">
        <v>47</v>
      </c>
      <c r="K116" s="8"/>
      <c r="L116" s="8"/>
      <c r="M116" s="8"/>
      <c r="N116" s="8"/>
      <c r="O116" s="8"/>
      <c r="P116" s="8"/>
    </row>
    <row r="117" customFormat="false" ht="35.05" hidden="false" customHeight="false" outlineLevel="0" collapsed="false">
      <c r="A117" s="7" t="s">
        <v>571</v>
      </c>
      <c r="B117" s="7" t="s">
        <v>572</v>
      </c>
      <c r="C117" s="7" t="s">
        <v>350</v>
      </c>
      <c r="D117" s="7" t="s">
        <v>351</v>
      </c>
      <c r="E117" s="7" t="s">
        <v>344</v>
      </c>
      <c r="F117" s="7" t="s">
        <v>325</v>
      </c>
      <c r="G117" s="7" t="s">
        <v>326</v>
      </c>
      <c r="H117" s="7" t="s">
        <v>327</v>
      </c>
      <c r="I117" s="7"/>
      <c r="J117" s="8" t="s">
        <v>47</v>
      </c>
      <c r="K117" s="8"/>
      <c r="L117" s="8"/>
      <c r="M117" s="8"/>
      <c r="N117" s="8"/>
      <c r="O117" s="8"/>
      <c r="P117" s="8"/>
    </row>
    <row r="118" customFormat="false" ht="35.05" hidden="false" customHeight="false" outlineLevel="0" collapsed="false">
      <c r="A118" s="7" t="s">
        <v>573</v>
      </c>
      <c r="B118" s="7" t="s">
        <v>574</v>
      </c>
      <c r="C118" s="7" t="s">
        <v>350</v>
      </c>
      <c r="D118" s="7" t="s">
        <v>351</v>
      </c>
      <c r="E118" s="7" t="s">
        <v>344</v>
      </c>
      <c r="F118" s="7" t="s">
        <v>325</v>
      </c>
      <c r="G118" s="7" t="s">
        <v>326</v>
      </c>
      <c r="H118" s="7" t="s">
        <v>327</v>
      </c>
      <c r="I118" s="7"/>
      <c r="J118" s="8" t="s">
        <v>47</v>
      </c>
      <c r="K118" s="8"/>
      <c r="L118" s="8"/>
      <c r="M118" s="8"/>
      <c r="N118" s="8"/>
      <c r="O118" s="8"/>
      <c r="P118" s="8"/>
    </row>
    <row r="119" customFormat="false" ht="23.85" hidden="false" customHeight="false" outlineLevel="0" collapsed="false">
      <c r="A119" s="7" t="s">
        <v>575</v>
      </c>
      <c r="B119" s="7" t="s">
        <v>576</v>
      </c>
      <c r="C119" s="7" t="s">
        <v>525</v>
      </c>
      <c r="D119" s="7" t="s">
        <v>448</v>
      </c>
      <c r="E119" s="7" t="s">
        <v>332</v>
      </c>
      <c r="F119" s="7" t="s">
        <v>325</v>
      </c>
      <c r="G119" s="7" t="s">
        <v>326</v>
      </c>
      <c r="H119" s="7" t="s">
        <v>327</v>
      </c>
      <c r="I119" s="7" t="s">
        <v>568</v>
      </c>
      <c r="J119" s="8" t="s">
        <v>47</v>
      </c>
      <c r="K119" s="8"/>
      <c r="L119" s="8"/>
      <c r="M119" s="8"/>
      <c r="N119" s="8"/>
      <c r="O119" s="8"/>
      <c r="P119" s="8"/>
    </row>
    <row r="120" customFormat="false" ht="23.85" hidden="false" customHeight="false" outlineLevel="0" collapsed="false">
      <c r="A120" s="7" t="s">
        <v>577</v>
      </c>
      <c r="B120" s="7" t="s">
        <v>578</v>
      </c>
      <c r="C120" s="7" t="s">
        <v>525</v>
      </c>
      <c r="D120" s="7" t="s">
        <v>448</v>
      </c>
      <c r="E120" s="7" t="s">
        <v>332</v>
      </c>
      <c r="F120" s="7" t="s">
        <v>325</v>
      </c>
      <c r="G120" s="7" t="s">
        <v>326</v>
      </c>
      <c r="H120" s="7" t="s">
        <v>327</v>
      </c>
      <c r="I120" s="7" t="s">
        <v>568</v>
      </c>
      <c r="J120" s="8" t="s">
        <v>47</v>
      </c>
      <c r="K120" s="8"/>
      <c r="L120" s="8"/>
      <c r="M120" s="8"/>
      <c r="N120" s="8"/>
      <c r="O120" s="8"/>
      <c r="P120" s="8"/>
    </row>
    <row r="121" customFormat="false" ht="23.85" hidden="false" customHeight="false" outlineLevel="0" collapsed="false">
      <c r="A121" s="7" t="s">
        <v>579</v>
      </c>
      <c r="B121" s="7" t="s">
        <v>580</v>
      </c>
      <c r="C121" s="7" t="s">
        <v>525</v>
      </c>
      <c r="D121" s="7" t="s">
        <v>448</v>
      </c>
      <c r="E121" s="7" t="s">
        <v>332</v>
      </c>
      <c r="F121" s="7" t="s">
        <v>325</v>
      </c>
      <c r="G121" s="7" t="s">
        <v>326</v>
      </c>
      <c r="H121" s="7" t="s">
        <v>327</v>
      </c>
      <c r="I121" s="7" t="s">
        <v>568</v>
      </c>
      <c r="J121" s="8" t="s">
        <v>47</v>
      </c>
      <c r="K121" s="8"/>
      <c r="L121" s="8"/>
      <c r="M121" s="8"/>
      <c r="N121" s="8"/>
      <c r="O121" s="8"/>
      <c r="P121" s="8"/>
    </row>
    <row r="122" customFormat="false" ht="23.85" hidden="false" customHeight="false" outlineLevel="0" collapsed="false">
      <c r="A122" s="7" t="s">
        <v>581</v>
      </c>
      <c r="B122" s="7" t="s">
        <v>582</v>
      </c>
      <c r="C122" s="7" t="s">
        <v>525</v>
      </c>
      <c r="D122" s="7" t="s">
        <v>448</v>
      </c>
      <c r="E122" s="7" t="s">
        <v>332</v>
      </c>
      <c r="F122" s="7" t="s">
        <v>325</v>
      </c>
      <c r="G122" s="7" t="s">
        <v>326</v>
      </c>
      <c r="H122" s="7" t="s">
        <v>327</v>
      </c>
      <c r="I122" s="7" t="s">
        <v>568</v>
      </c>
      <c r="J122" s="8" t="s">
        <v>47</v>
      </c>
      <c r="K122" s="8"/>
      <c r="L122" s="8"/>
      <c r="M122" s="8"/>
      <c r="N122" s="8"/>
      <c r="O122" s="8"/>
      <c r="P122" s="8"/>
    </row>
    <row r="123" customFormat="false" ht="23.85" hidden="false" customHeight="false" outlineLevel="0" collapsed="false">
      <c r="A123" s="7" t="s">
        <v>583</v>
      </c>
      <c r="B123" s="7" t="s">
        <v>584</v>
      </c>
      <c r="C123" s="7" t="s">
        <v>525</v>
      </c>
      <c r="D123" s="7" t="s">
        <v>448</v>
      </c>
      <c r="E123" s="7" t="s">
        <v>332</v>
      </c>
      <c r="F123" s="7" t="s">
        <v>325</v>
      </c>
      <c r="G123" s="7" t="s">
        <v>326</v>
      </c>
      <c r="H123" s="7" t="s">
        <v>327</v>
      </c>
      <c r="I123" s="7" t="s">
        <v>568</v>
      </c>
      <c r="J123" s="8" t="s">
        <v>47</v>
      </c>
      <c r="K123" s="8"/>
      <c r="L123" s="8"/>
      <c r="M123" s="8"/>
      <c r="N123" s="8"/>
      <c r="O123" s="8"/>
      <c r="P123" s="8"/>
    </row>
  </sheetData>
  <autoFilter ref="A1:P123"/>
  <dataValidations count="2">
    <dataValidation allowBlank="true" errorStyle="stop" operator="between" showDropDown="false" showErrorMessage="false" showInputMessage="false" sqref="J2:J123" type="list">
      <formula1>"offen,freigeben,mit Änderung freigeben,ablehnen,Rückfrage an KSK/DRV"</formula1>
      <formula2>0</formula2>
    </dataValidation>
    <dataValidation allowBlank="true" errorStyle="stop" operator="between" showDropDown="false" showErrorMessage="false" showInputMessage="false" sqref="M2:M123" type="list">
      <formula1>"1,2,3,nicht verwenden"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80"/>
    <col collapsed="false" customWidth="true" hidden="false" outlineLevel="0" max="4" min="4" style="0" width="40"/>
    <col collapsed="false" customWidth="true" hidden="false" outlineLevel="0" max="5" min="5" style="0" width="22"/>
    <col collapsed="false" customWidth="true" hidden="false" outlineLevel="0" max="6" min="6" style="0" width="16"/>
    <col collapsed="false" customWidth="true" hidden="false" outlineLevel="0" max="7" min="7" style="0" width="36"/>
    <col collapsed="false" customWidth="true" hidden="false" outlineLevel="0" max="8" min="8" style="0" width="12"/>
    <col collapsed="false" customWidth="true" hidden="false" outlineLevel="0" max="9" min="9" style="0" width="11"/>
  </cols>
  <sheetData>
    <row r="1" customFormat="false" ht="31.5" hidden="false" customHeight="true" outlineLevel="0" collapsed="false">
      <c r="A1" s="6" t="s">
        <v>585</v>
      </c>
      <c r="B1" s="6" t="s">
        <v>586</v>
      </c>
      <c r="C1" s="6" t="s">
        <v>587</v>
      </c>
      <c r="D1" s="6" t="s">
        <v>316</v>
      </c>
      <c r="E1" s="6" t="s">
        <v>588</v>
      </c>
      <c r="F1" s="6" t="s">
        <v>32</v>
      </c>
      <c r="G1" s="6" t="s">
        <v>34</v>
      </c>
      <c r="H1" s="6" t="s">
        <v>35</v>
      </c>
      <c r="I1" s="6" t="s">
        <v>36</v>
      </c>
    </row>
    <row r="2" customFormat="false" ht="79.85" hidden="false" customHeight="false" outlineLevel="0" collapsed="false">
      <c r="A2" s="7" t="s">
        <v>589</v>
      </c>
      <c r="B2" s="7" t="s">
        <v>590</v>
      </c>
      <c r="C2" s="7" t="s">
        <v>591</v>
      </c>
      <c r="D2" s="7" t="s">
        <v>592</v>
      </c>
      <c r="E2" s="7" t="s">
        <v>593</v>
      </c>
      <c r="F2" s="8" t="s">
        <v>47</v>
      </c>
      <c r="G2" s="8"/>
      <c r="H2" s="8"/>
      <c r="I2" s="8"/>
    </row>
    <row r="3" customFormat="false" ht="57.45" hidden="false" customHeight="false" outlineLevel="0" collapsed="false">
      <c r="A3" s="7" t="s">
        <v>594</v>
      </c>
      <c r="B3" s="7" t="s">
        <v>590</v>
      </c>
      <c r="C3" s="7" t="s">
        <v>595</v>
      </c>
      <c r="D3" s="7" t="s">
        <v>596</v>
      </c>
      <c r="E3" s="7" t="s">
        <v>593</v>
      </c>
      <c r="F3" s="8" t="s">
        <v>47</v>
      </c>
      <c r="G3" s="8"/>
      <c r="H3" s="8"/>
      <c r="I3" s="8"/>
    </row>
    <row r="4" customFormat="false" ht="46.25" hidden="false" customHeight="false" outlineLevel="0" collapsed="false">
      <c r="A4" s="7" t="s">
        <v>597</v>
      </c>
      <c r="B4" s="7" t="s">
        <v>590</v>
      </c>
      <c r="C4" s="7" t="s">
        <v>598</v>
      </c>
      <c r="D4" s="7" t="s">
        <v>599</v>
      </c>
      <c r="E4" s="7" t="s">
        <v>593</v>
      </c>
      <c r="F4" s="8" t="s">
        <v>47</v>
      </c>
      <c r="G4" s="8"/>
      <c r="H4" s="8"/>
      <c r="I4" s="8"/>
    </row>
    <row r="5" customFormat="false" ht="35.05" hidden="false" customHeight="false" outlineLevel="0" collapsed="false">
      <c r="A5" s="7" t="s">
        <v>600</v>
      </c>
      <c r="B5" s="7" t="s">
        <v>590</v>
      </c>
      <c r="C5" s="7" t="s">
        <v>601</v>
      </c>
      <c r="D5" s="7" t="s">
        <v>602</v>
      </c>
      <c r="E5" s="7" t="s">
        <v>593</v>
      </c>
      <c r="F5" s="8" t="s">
        <v>47</v>
      </c>
      <c r="G5" s="8"/>
      <c r="H5" s="8"/>
      <c r="I5" s="8"/>
    </row>
    <row r="6" customFormat="false" ht="46.25" hidden="false" customHeight="false" outlineLevel="0" collapsed="false">
      <c r="A6" s="7" t="s">
        <v>603</v>
      </c>
      <c r="B6" s="7" t="s">
        <v>590</v>
      </c>
      <c r="C6" s="7" t="s">
        <v>604</v>
      </c>
      <c r="D6" s="7" t="s">
        <v>605</v>
      </c>
      <c r="E6" s="7" t="s">
        <v>593</v>
      </c>
      <c r="F6" s="8" t="s">
        <v>47</v>
      </c>
      <c r="G6" s="8"/>
      <c r="H6" s="8"/>
      <c r="I6" s="8"/>
    </row>
    <row r="7" customFormat="false" ht="57.45" hidden="false" customHeight="false" outlineLevel="0" collapsed="false">
      <c r="A7" s="7" t="s">
        <v>606</v>
      </c>
      <c r="B7" s="7" t="s">
        <v>590</v>
      </c>
      <c r="C7" s="7" t="s">
        <v>607</v>
      </c>
      <c r="D7" s="7" t="s">
        <v>608</v>
      </c>
      <c r="E7" s="7" t="s">
        <v>593</v>
      </c>
      <c r="F7" s="8" t="s">
        <v>47</v>
      </c>
      <c r="G7" s="8"/>
      <c r="H7" s="8"/>
      <c r="I7" s="8"/>
    </row>
    <row r="8" customFormat="false" ht="46.25" hidden="false" customHeight="false" outlineLevel="0" collapsed="false">
      <c r="A8" s="7" t="s">
        <v>609</v>
      </c>
      <c r="B8" s="7" t="s">
        <v>590</v>
      </c>
      <c r="C8" s="7" t="s">
        <v>610</v>
      </c>
      <c r="D8" s="7" t="s">
        <v>611</v>
      </c>
      <c r="E8" s="7" t="s">
        <v>593</v>
      </c>
      <c r="F8" s="8" t="s">
        <v>47</v>
      </c>
      <c r="G8" s="8"/>
      <c r="H8" s="8"/>
      <c r="I8" s="8"/>
    </row>
    <row r="9" customFormat="false" ht="23.85" hidden="false" customHeight="false" outlineLevel="0" collapsed="false">
      <c r="A9" s="7" t="s">
        <v>612</v>
      </c>
      <c r="B9" s="7" t="s">
        <v>590</v>
      </c>
      <c r="C9" s="7" t="s">
        <v>613</v>
      </c>
      <c r="D9" s="7" t="s">
        <v>605</v>
      </c>
      <c r="E9" s="7" t="s">
        <v>593</v>
      </c>
      <c r="F9" s="8" t="s">
        <v>47</v>
      </c>
      <c r="G9" s="8"/>
      <c r="H9" s="8"/>
      <c r="I9" s="8"/>
    </row>
    <row r="10" customFormat="false" ht="135.8" hidden="false" customHeight="false" outlineLevel="0" collapsed="false">
      <c r="A10" s="7" t="s">
        <v>614</v>
      </c>
      <c r="B10" s="7" t="s">
        <v>590</v>
      </c>
      <c r="C10" s="7" t="s">
        <v>615</v>
      </c>
      <c r="D10" s="7" t="s">
        <v>616</v>
      </c>
      <c r="E10" s="7" t="s">
        <v>593</v>
      </c>
      <c r="F10" s="8" t="s">
        <v>47</v>
      </c>
      <c r="G10" s="8"/>
      <c r="H10" s="8"/>
      <c r="I10" s="8"/>
    </row>
  </sheetData>
  <autoFilter ref="A1:I10"/>
  <dataValidations count="1">
    <dataValidation allowBlank="true" errorStyle="stop" operator="between" showDropDown="false" showErrorMessage="false" showInputMessage="false" sqref="F2:F10" type="list">
      <formula1>"offen,freigeben,mit Änderung freigeben,ablehnen,Rückfrage an KSK/DRV"</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0"/>
    <col collapsed="false" customWidth="true" hidden="false" outlineLevel="0" max="3" min="3" style="0" width="60"/>
    <col collapsed="false" customWidth="true" hidden="false" outlineLevel="0" max="4" min="4" style="0" width="50"/>
    <col collapsed="false" customWidth="true" hidden="false" outlineLevel="0" max="5" min="5" style="0" width="30"/>
    <col collapsed="false" customWidth="true" hidden="false" outlineLevel="0" max="6" min="6" style="0" width="24"/>
    <col collapsed="false" customWidth="true" hidden="false" outlineLevel="0" max="7" min="7" style="0" width="50"/>
    <col collapsed="false" customWidth="true" hidden="false" outlineLevel="0" max="8" min="8" style="0" width="12"/>
    <col collapsed="false" customWidth="true" hidden="false" outlineLevel="0" max="9" min="9" style="0" width="11"/>
  </cols>
  <sheetData>
    <row r="1" customFormat="false" ht="31.5" hidden="false" customHeight="true" outlineLevel="0" collapsed="false">
      <c r="A1" s="6" t="s">
        <v>617</v>
      </c>
      <c r="B1" s="6" t="s">
        <v>618</v>
      </c>
      <c r="C1" s="6" t="s">
        <v>619</v>
      </c>
      <c r="D1" s="6" t="s">
        <v>620</v>
      </c>
      <c r="E1" s="6" t="s">
        <v>621</v>
      </c>
      <c r="F1" s="6" t="s">
        <v>622</v>
      </c>
      <c r="G1" s="6" t="s">
        <v>623</v>
      </c>
      <c r="H1" s="6" t="s">
        <v>35</v>
      </c>
      <c r="I1" s="6" t="s">
        <v>36</v>
      </c>
    </row>
    <row r="2" customFormat="false" ht="46.25" hidden="false" customHeight="false" outlineLevel="0" collapsed="false">
      <c r="A2" s="7" t="s">
        <v>624</v>
      </c>
      <c r="B2" s="7" t="s">
        <v>625</v>
      </c>
      <c r="C2" s="7" t="s">
        <v>626</v>
      </c>
      <c r="D2" s="7" t="s">
        <v>627</v>
      </c>
      <c r="E2" s="7" t="s">
        <v>628</v>
      </c>
      <c r="F2" s="7" t="s">
        <v>629</v>
      </c>
      <c r="G2" s="8"/>
      <c r="H2" s="8"/>
      <c r="I2" s="8"/>
    </row>
    <row r="3" customFormat="false" ht="46.25" hidden="false" customHeight="false" outlineLevel="0" collapsed="false">
      <c r="A3" s="7" t="s">
        <v>630</v>
      </c>
      <c r="B3" s="7" t="s">
        <v>631</v>
      </c>
      <c r="C3" s="7" t="s">
        <v>632</v>
      </c>
      <c r="D3" s="7" t="s">
        <v>633</v>
      </c>
      <c r="E3" s="7" t="s">
        <v>634</v>
      </c>
      <c r="F3" s="7" t="s">
        <v>635</v>
      </c>
      <c r="G3" s="8"/>
      <c r="H3" s="8"/>
      <c r="I3" s="8"/>
    </row>
    <row r="4" customFormat="false" ht="46.25" hidden="false" customHeight="false" outlineLevel="0" collapsed="false">
      <c r="A4" s="7" t="s">
        <v>286</v>
      </c>
      <c r="B4" s="7" t="s">
        <v>636</v>
      </c>
      <c r="C4" s="7" t="s">
        <v>637</v>
      </c>
      <c r="D4" s="7" t="s">
        <v>638</v>
      </c>
      <c r="E4" s="7" t="s">
        <v>639</v>
      </c>
      <c r="F4" s="7" t="s">
        <v>640</v>
      </c>
      <c r="G4" s="8"/>
      <c r="H4" s="8"/>
      <c r="I4" s="8"/>
    </row>
    <row r="5" customFormat="false" ht="46.25" hidden="false" customHeight="false" outlineLevel="0" collapsed="false">
      <c r="A5" s="7" t="s">
        <v>291</v>
      </c>
      <c r="B5" s="7" t="s">
        <v>641</v>
      </c>
      <c r="C5" s="7" t="s">
        <v>642</v>
      </c>
      <c r="D5" s="7" t="s">
        <v>643</v>
      </c>
      <c r="E5" s="7" t="s">
        <v>644</v>
      </c>
      <c r="F5" s="7" t="s">
        <v>645</v>
      </c>
      <c r="G5" s="8"/>
      <c r="H5" s="8"/>
      <c r="I5" s="8"/>
    </row>
    <row r="6" customFormat="false" ht="46.25" hidden="false" customHeight="false" outlineLevel="0" collapsed="false">
      <c r="A6" s="7" t="s">
        <v>646</v>
      </c>
      <c r="B6" s="7" t="s">
        <v>647</v>
      </c>
      <c r="C6" s="7" t="s">
        <v>648</v>
      </c>
      <c r="D6" s="7" t="s">
        <v>649</v>
      </c>
      <c r="E6" s="7" t="s">
        <v>650</v>
      </c>
      <c r="F6" s="7" t="s">
        <v>651</v>
      </c>
      <c r="G6" s="8"/>
      <c r="H6" s="8"/>
      <c r="I6" s="8"/>
    </row>
    <row r="7" customFormat="false" ht="35.05" hidden="false" customHeight="false" outlineLevel="0" collapsed="false">
      <c r="A7" s="7" t="s">
        <v>652</v>
      </c>
      <c r="B7" s="7" t="s">
        <v>653</v>
      </c>
      <c r="C7" s="7" t="s">
        <v>654</v>
      </c>
      <c r="D7" s="7" t="s">
        <v>655</v>
      </c>
      <c r="E7" s="7" t="s">
        <v>656</v>
      </c>
      <c r="F7" s="7" t="s">
        <v>651</v>
      </c>
      <c r="G7" s="8"/>
      <c r="H7" s="8"/>
      <c r="I7" s="8"/>
    </row>
    <row r="8" customFormat="false" ht="46.25" hidden="false" customHeight="false" outlineLevel="0" collapsed="false">
      <c r="A8" s="7" t="s">
        <v>657</v>
      </c>
      <c r="B8" s="7" t="s">
        <v>658</v>
      </c>
      <c r="C8" s="7" t="s">
        <v>659</v>
      </c>
      <c r="D8" s="7" t="s">
        <v>660</v>
      </c>
      <c r="E8" s="7" t="s">
        <v>661</v>
      </c>
      <c r="F8" s="7" t="s">
        <v>651</v>
      </c>
      <c r="G8" s="8"/>
      <c r="H8" s="8"/>
      <c r="I8" s="8"/>
    </row>
    <row r="9" customFormat="false" ht="35.05" hidden="false" customHeight="false" outlineLevel="0" collapsed="false">
      <c r="A9" s="7" t="s">
        <v>662</v>
      </c>
      <c r="B9" s="7" t="s">
        <v>663</v>
      </c>
      <c r="C9" s="7" t="s">
        <v>664</v>
      </c>
      <c r="D9" s="7" t="s">
        <v>665</v>
      </c>
      <c r="E9" s="7" t="s">
        <v>666</v>
      </c>
      <c r="F9" s="7" t="s">
        <v>667</v>
      </c>
      <c r="G9" s="8"/>
      <c r="H9" s="8"/>
      <c r="I9" s="8"/>
    </row>
    <row r="10" customFormat="false" ht="46.25" hidden="false" customHeight="false" outlineLevel="0" collapsed="false">
      <c r="A10" s="7" t="s">
        <v>668</v>
      </c>
      <c r="B10" s="7" t="s">
        <v>669</v>
      </c>
      <c r="C10" s="7" t="s">
        <v>670</v>
      </c>
      <c r="D10" s="7" t="s">
        <v>671</v>
      </c>
      <c r="E10" s="7" t="s">
        <v>672</v>
      </c>
      <c r="F10" s="7" t="s">
        <v>667</v>
      </c>
      <c r="G10" s="8"/>
      <c r="H10" s="8"/>
      <c r="I10" s="8"/>
    </row>
    <row r="11" customFormat="false" ht="23.85" hidden="false" customHeight="false" outlineLevel="0" collapsed="false">
      <c r="A11" s="7" t="s">
        <v>673</v>
      </c>
      <c r="B11" s="7" t="s">
        <v>674</v>
      </c>
      <c r="C11" s="7" t="s">
        <v>675</v>
      </c>
      <c r="D11" s="7" t="s">
        <v>676</v>
      </c>
      <c r="E11" s="7" t="s">
        <v>677</v>
      </c>
      <c r="F11" s="7" t="s">
        <v>678</v>
      </c>
      <c r="G11" s="8"/>
      <c r="H11" s="8"/>
      <c r="I11" s="8"/>
    </row>
    <row r="12" customFormat="false" ht="35.05" hidden="false" customHeight="false" outlineLevel="0" collapsed="false">
      <c r="A12" s="7" t="s">
        <v>679</v>
      </c>
      <c r="B12" s="7" t="s">
        <v>680</v>
      </c>
      <c r="C12" s="7" t="s">
        <v>681</v>
      </c>
      <c r="D12" s="7" t="s">
        <v>682</v>
      </c>
      <c r="E12" s="7" t="s">
        <v>683</v>
      </c>
      <c r="F12" s="7" t="s">
        <v>684</v>
      </c>
      <c r="G12" s="8"/>
      <c r="H12" s="8"/>
      <c r="I12" s="8"/>
    </row>
    <row r="13" customFormat="false" ht="35.05" hidden="false" customHeight="false" outlineLevel="0" collapsed="false">
      <c r="A13" s="7" t="s">
        <v>685</v>
      </c>
      <c r="B13" s="7" t="s">
        <v>686</v>
      </c>
      <c r="C13" s="7" t="s">
        <v>687</v>
      </c>
      <c r="D13" s="7" t="s">
        <v>688</v>
      </c>
      <c r="E13" s="7" t="s">
        <v>689</v>
      </c>
      <c r="F13" s="7" t="s">
        <v>690</v>
      </c>
      <c r="G13" s="8"/>
      <c r="H13" s="8"/>
      <c r="I13" s="8"/>
    </row>
  </sheetData>
  <autoFilter ref="A1:I13"/>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2026-10-14T15:19:43Z</dcterms:created>
  <dc:creator>openpyxl</dc:creator>
  <dc:description/>
  <dc:language>en-US</dc:language>
  <cp:lastModifiedBy/>
  <dcterms:modified xsi:type="dcterms:W3CDTF">2026-10-14T15:19:43Z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